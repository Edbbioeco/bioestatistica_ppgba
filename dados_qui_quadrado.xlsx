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bioestatística\"/>
    </mc:Choice>
  </mc:AlternateContent>
  <xr:revisionPtr revIDLastSave="0" documentId="13_ncr:1_{FB998B31-B58A-4C35-805A-1C29309C11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O29" i="1"/>
  <c r="M30" i="1"/>
  <c r="O30" i="1"/>
  <c r="P30" i="1"/>
  <c r="L31" i="1"/>
  <c r="M31" i="1"/>
  <c r="N31" i="1"/>
  <c r="O31" i="1"/>
  <c r="P31" i="1"/>
  <c r="L32" i="1"/>
  <c r="M32" i="1"/>
  <c r="N32" i="1"/>
  <c r="O32" i="1"/>
  <c r="P32" i="1"/>
  <c r="K30" i="1"/>
  <c r="K31" i="1"/>
  <c r="K32" i="1"/>
  <c r="I30" i="1"/>
  <c r="I31" i="1"/>
  <c r="I32" i="1"/>
  <c r="I29" i="1"/>
  <c r="H31" i="1"/>
  <c r="H32" i="1"/>
  <c r="H29" i="1"/>
  <c r="G30" i="1"/>
  <c r="G31" i="1"/>
  <c r="G32" i="1"/>
  <c r="G29" i="1"/>
  <c r="E30" i="1"/>
  <c r="E31" i="1"/>
  <c r="E32" i="1"/>
  <c r="E29" i="1"/>
  <c r="F29" i="1"/>
  <c r="J29" i="1"/>
  <c r="F30" i="1"/>
  <c r="J30" i="1"/>
  <c r="F31" i="1"/>
  <c r="J31" i="1"/>
  <c r="F32" i="1"/>
  <c r="J32" i="1"/>
  <c r="D30" i="1"/>
  <c r="D31" i="1"/>
  <c r="D32" i="1"/>
  <c r="D29" i="1"/>
</calcChain>
</file>

<file path=xl/sharedStrings.xml><?xml version="1.0" encoding="utf-8"?>
<sst xmlns="http://schemas.openxmlformats.org/spreadsheetml/2006/main" count="84" uniqueCount="43">
  <si>
    <t>ANA BEATRIZ CARNEIRO CORREA</t>
  </si>
  <si>
    <t>BRUNA RAFAELA MONTEIRO CAMPELO</t>
  </si>
  <si>
    <t>EDSON NILTON DE MOURA SILVA JÚNIOR</t>
  </si>
  <si>
    <t>ERICLES CHARLES DA SILVA MELO</t>
  </si>
  <si>
    <t>HENRIQUE RAFAEL PONTES FERREIRA</t>
  </si>
  <si>
    <t>JOAO MIGUEL RIBEIRO COSTA</t>
  </si>
  <si>
    <t>LORENA SANT'ANA COUTINHO DE OLIVEIRA</t>
  </si>
  <si>
    <t>MARCELO RODRIGUES ALVES FREITAS</t>
  </si>
  <si>
    <t>MARIA BEATRIZ NUNES DE SOUZA</t>
  </si>
  <si>
    <t>MARIA ISABEL DE OLIVEIRA LOPES GOMES</t>
  </si>
  <si>
    <t>THAIS LARISSA LIMA SANTANA</t>
  </si>
  <si>
    <t>THIAGO HENRIQUE DE SOUSA</t>
  </si>
  <si>
    <t>WESLEY MANOEL SILVA SANTOS</t>
  </si>
  <si>
    <t>QUIQUADRADO ADERÊNCIA FRAÇÕES ESPERADAS IGUAIS</t>
  </si>
  <si>
    <t>QUIQUADRADO INDEPENDENCIA (2X2)</t>
  </si>
  <si>
    <t>QUIQUADRADO ADERÊNCIA FRAÇÕES ESPERADAS DIFERENTES (25 - 75)</t>
  </si>
  <si>
    <t>G TESTE (4 REPETIÇÕES)</t>
  </si>
  <si>
    <t>TRAT2</t>
  </si>
  <si>
    <t>TRAT3</t>
  </si>
  <si>
    <t>TRAT1</t>
  </si>
  <si>
    <t>Cond 1A</t>
  </si>
  <si>
    <t>Cond 1B</t>
  </si>
  <si>
    <t>Cond 2A</t>
  </si>
  <si>
    <t>Cond2B</t>
  </si>
  <si>
    <t xml:space="preserve">Rep 1 + </t>
  </si>
  <si>
    <t>Rep 2+</t>
  </si>
  <si>
    <t>Rep 3+</t>
  </si>
  <si>
    <t>Rep 4+</t>
  </si>
  <si>
    <t>Rep 1-</t>
  </si>
  <si>
    <t>Rep 2-</t>
  </si>
  <si>
    <t>Rep 3-</t>
  </si>
  <si>
    <t>Rep 4-</t>
  </si>
  <si>
    <t>Teste</t>
  </si>
  <si>
    <t>Tratamento</t>
  </si>
  <si>
    <t>Abundância</t>
  </si>
  <si>
    <t>Cond 2B</t>
  </si>
  <si>
    <t>Rep 2 +</t>
  </si>
  <si>
    <t>Rep 3 +</t>
  </si>
  <si>
    <t>Rep 4 +</t>
  </si>
  <si>
    <t>Rep 1 -</t>
  </si>
  <si>
    <t>Rep 2 -</t>
  </si>
  <si>
    <t>Rep 3 -</t>
  </si>
  <si>
    <t>Rep 4 -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</si>
</sst>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9FBFD"/>
        <bgColor indexed="64"/>
      </patternFill>
    </fill>
    <fill>
      <patternFill patternType="solid">
        <fgColor rgb="FFEDF1F8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888888"/>
      </right>
      <top style="medium">
        <color rgb="FFDEDFE3"/>
      </top>
      <bottom/>
      <diagonal/>
    </border>
    <border>
      <left/>
      <right style="medium">
        <color rgb="FF888888"/>
      </right>
      <top/>
      <bottom/>
      <diagonal/>
    </border>
    <border>
      <left/>
      <right style="medium">
        <color rgb="FF888888"/>
      </right>
      <top/>
      <bottom style="medium">
        <color rgb="FFDEDF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B1" zoomScale="115" zoomScaleNormal="115" workbookViewId="0">
      <selection activeCell="F15" activeCellId="1" sqref="B15:C32 F15:F32"/>
    </sheetView>
  </sheetViews>
  <sheetFormatPr defaultRowHeight="14.4" x14ac:dyDescent="0.3"/>
  <cols>
    <col min="2" max="2" width="64.44140625" bestFit="1" customWidth="1"/>
    <col min="3" max="3" width="16" customWidth="1"/>
  </cols>
  <sheetData>
    <row r="1" spans="1:16" x14ac:dyDescent="0.3">
      <c r="A1">
        <v>1</v>
      </c>
      <c r="B1" s="1" t="s">
        <v>0</v>
      </c>
      <c r="C1" s="5"/>
    </row>
    <row r="2" spans="1:16" x14ac:dyDescent="0.3">
      <c r="A2">
        <v>2</v>
      </c>
      <c r="B2" s="2" t="s">
        <v>1</v>
      </c>
      <c r="C2" s="6"/>
    </row>
    <row r="3" spans="1:16" x14ac:dyDescent="0.3">
      <c r="A3">
        <v>3</v>
      </c>
      <c r="B3" s="3" t="s">
        <v>2</v>
      </c>
      <c r="C3" s="5"/>
    </row>
    <row r="4" spans="1:16" x14ac:dyDescent="0.3">
      <c r="A4">
        <v>4</v>
      </c>
      <c r="B4" s="2" t="s">
        <v>3</v>
      </c>
      <c r="C4" s="6"/>
    </row>
    <row r="5" spans="1:16" x14ac:dyDescent="0.3">
      <c r="A5">
        <v>5</v>
      </c>
      <c r="B5" s="3" t="s">
        <v>4</v>
      </c>
      <c r="C5" s="5"/>
    </row>
    <row r="6" spans="1:16" x14ac:dyDescent="0.3">
      <c r="A6">
        <v>6</v>
      </c>
      <c r="B6" s="2" t="s">
        <v>5</v>
      </c>
      <c r="C6" s="6"/>
    </row>
    <row r="7" spans="1:16" x14ac:dyDescent="0.3">
      <c r="A7">
        <v>7</v>
      </c>
      <c r="B7" s="3" t="s">
        <v>6</v>
      </c>
      <c r="C7" s="5"/>
    </row>
    <row r="8" spans="1:16" x14ac:dyDescent="0.3">
      <c r="A8">
        <v>8</v>
      </c>
      <c r="B8" s="2" t="s">
        <v>7</v>
      </c>
      <c r="C8" s="6"/>
    </row>
    <row r="9" spans="1:16" x14ac:dyDescent="0.3">
      <c r="A9">
        <v>9</v>
      </c>
      <c r="B9" s="3" t="s">
        <v>8</v>
      </c>
      <c r="C9" s="5"/>
    </row>
    <row r="10" spans="1:16" x14ac:dyDescent="0.3">
      <c r="A10">
        <v>10</v>
      </c>
      <c r="B10" s="2" t="s">
        <v>9</v>
      </c>
      <c r="C10" s="6"/>
    </row>
    <row r="11" spans="1:16" x14ac:dyDescent="0.3">
      <c r="A11">
        <v>11</v>
      </c>
      <c r="B11" s="3" t="s">
        <v>10</v>
      </c>
      <c r="C11" s="5"/>
    </row>
    <row r="12" spans="1:16" x14ac:dyDescent="0.3">
      <c r="A12">
        <v>12</v>
      </c>
      <c r="B12" s="2" t="s">
        <v>11</v>
      </c>
      <c r="C12" s="6"/>
    </row>
    <row r="13" spans="1:16" ht="15" thickBot="1" x14ac:dyDescent="0.35">
      <c r="A13">
        <v>13</v>
      </c>
      <c r="B13" s="4" t="s">
        <v>12</v>
      </c>
      <c r="C13" s="5"/>
    </row>
    <row r="15" spans="1:16" x14ac:dyDescent="0.3">
      <c r="D15">
        <v>1</v>
      </c>
      <c r="E15">
        <v>2</v>
      </c>
      <c r="F15">
        <v>3</v>
      </c>
      <c r="G15">
        <v>4</v>
      </c>
      <c r="H15">
        <v>5</v>
      </c>
      <c r="I15">
        <v>6</v>
      </c>
      <c r="J15">
        <v>7</v>
      </c>
      <c r="K15">
        <v>8</v>
      </c>
      <c r="L15">
        <v>9</v>
      </c>
      <c r="M15">
        <v>10</v>
      </c>
      <c r="N15">
        <v>11</v>
      </c>
      <c r="O15">
        <v>12</v>
      </c>
      <c r="P15">
        <v>13</v>
      </c>
    </row>
    <row r="16" spans="1:16" x14ac:dyDescent="0.3">
      <c r="B16" t="s">
        <v>13</v>
      </c>
      <c r="C16" t="s">
        <v>19</v>
      </c>
      <c r="D16">
        <v>10</v>
      </c>
      <c r="E16">
        <v>10</v>
      </c>
      <c r="F16">
        <v>15</v>
      </c>
      <c r="G16">
        <v>10</v>
      </c>
      <c r="H16">
        <v>20</v>
      </c>
      <c r="I16">
        <v>5</v>
      </c>
      <c r="J16">
        <v>30</v>
      </c>
      <c r="K16">
        <v>45</v>
      </c>
      <c r="L16">
        <v>30</v>
      </c>
      <c r="M16">
        <v>10</v>
      </c>
      <c r="N16">
        <v>40</v>
      </c>
      <c r="O16">
        <v>15</v>
      </c>
      <c r="P16">
        <v>30</v>
      </c>
    </row>
    <row r="17" spans="2:16" x14ac:dyDescent="0.3">
      <c r="B17" t="s">
        <v>13</v>
      </c>
      <c r="C17" t="s">
        <v>17</v>
      </c>
      <c r="D17">
        <v>20</v>
      </c>
      <c r="E17">
        <v>10</v>
      </c>
      <c r="F17">
        <v>15</v>
      </c>
      <c r="G17">
        <v>20</v>
      </c>
      <c r="H17">
        <v>30</v>
      </c>
      <c r="I17">
        <v>10</v>
      </c>
      <c r="J17">
        <v>30</v>
      </c>
      <c r="K17">
        <v>15</v>
      </c>
      <c r="L17">
        <v>5</v>
      </c>
      <c r="M17">
        <v>20</v>
      </c>
      <c r="N17">
        <v>30</v>
      </c>
      <c r="O17">
        <v>20</v>
      </c>
      <c r="P17">
        <v>15</v>
      </c>
    </row>
    <row r="18" spans="2:16" x14ac:dyDescent="0.3">
      <c r="B18" t="s">
        <v>13</v>
      </c>
      <c r="C18" t="s">
        <v>18</v>
      </c>
      <c r="D18">
        <v>20</v>
      </c>
      <c r="E18">
        <v>20</v>
      </c>
      <c r="F18">
        <v>10</v>
      </c>
      <c r="G18">
        <v>30</v>
      </c>
      <c r="H18">
        <v>15</v>
      </c>
      <c r="I18">
        <v>20</v>
      </c>
      <c r="J18">
        <v>45</v>
      </c>
      <c r="K18">
        <v>70</v>
      </c>
      <c r="L18">
        <v>15</v>
      </c>
      <c r="M18">
        <v>40</v>
      </c>
      <c r="N18">
        <v>10</v>
      </c>
      <c r="O18">
        <v>40</v>
      </c>
      <c r="P18">
        <v>35</v>
      </c>
    </row>
    <row r="19" spans="2:16" x14ac:dyDescent="0.3">
      <c r="B19" t="s">
        <v>15</v>
      </c>
      <c r="C19" t="s">
        <v>19</v>
      </c>
      <c r="D19">
        <v>30</v>
      </c>
      <c r="E19">
        <v>60</v>
      </c>
      <c r="F19">
        <v>60</v>
      </c>
      <c r="G19">
        <v>30</v>
      </c>
      <c r="H19">
        <v>30</v>
      </c>
      <c r="I19">
        <v>115</v>
      </c>
      <c r="J19">
        <v>150</v>
      </c>
      <c r="K19">
        <v>70</v>
      </c>
      <c r="L19">
        <v>70</v>
      </c>
      <c r="M19">
        <v>46</v>
      </c>
      <c r="N19">
        <v>64</v>
      </c>
      <c r="O19">
        <v>40</v>
      </c>
      <c r="P19">
        <v>60</v>
      </c>
    </row>
    <row r="20" spans="2:16" x14ac:dyDescent="0.3">
      <c r="B20" t="s">
        <v>15</v>
      </c>
      <c r="C20" t="s">
        <v>17</v>
      </c>
      <c r="D20">
        <v>60</v>
      </c>
      <c r="E20">
        <v>30</v>
      </c>
      <c r="F20">
        <v>60</v>
      </c>
      <c r="G20">
        <v>45</v>
      </c>
      <c r="H20">
        <v>45</v>
      </c>
      <c r="I20">
        <v>150</v>
      </c>
      <c r="J20">
        <v>115</v>
      </c>
      <c r="K20">
        <v>90</v>
      </c>
      <c r="L20">
        <v>90</v>
      </c>
      <c r="M20">
        <v>64</v>
      </c>
      <c r="N20">
        <v>46</v>
      </c>
      <c r="O20">
        <v>60</v>
      </c>
      <c r="P20">
        <v>40</v>
      </c>
    </row>
    <row r="21" spans="2:16" x14ac:dyDescent="0.3">
      <c r="B21" t="s">
        <v>14</v>
      </c>
      <c r="C21" t="s">
        <v>20</v>
      </c>
      <c r="D21">
        <v>20</v>
      </c>
      <c r="E21">
        <v>10</v>
      </c>
      <c r="F21">
        <v>15</v>
      </c>
      <c r="G21">
        <v>20</v>
      </c>
      <c r="H21">
        <v>30</v>
      </c>
      <c r="I21">
        <v>10</v>
      </c>
      <c r="J21">
        <v>30</v>
      </c>
      <c r="K21">
        <v>15</v>
      </c>
      <c r="L21">
        <v>5</v>
      </c>
      <c r="M21">
        <v>20</v>
      </c>
      <c r="N21">
        <v>30</v>
      </c>
      <c r="O21">
        <v>20</v>
      </c>
      <c r="P21">
        <v>15</v>
      </c>
    </row>
    <row r="22" spans="2:16" x14ac:dyDescent="0.3">
      <c r="B22" t="s">
        <v>14</v>
      </c>
      <c r="C22" t="s">
        <v>21</v>
      </c>
      <c r="D22">
        <v>20</v>
      </c>
      <c r="E22">
        <v>20</v>
      </c>
      <c r="F22">
        <v>10</v>
      </c>
      <c r="G22">
        <v>30</v>
      </c>
      <c r="H22">
        <v>15</v>
      </c>
      <c r="I22">
        <v>20</v>
      </c>
      <c r="J22">
        <v>45</v>
      </c>
      <c r="K22">
        <v>70</v>
      </c>
      <c r="L22">
        <v>15</v>
      </c>
      <c r="M22">
        <v>40</v>
      </c>
      <c r="N22">
        <v>10</v>
      </c>
      <c r="O22">
        <v>40</v>
      </c>
      <c r="P22">
        <v>35</v>
      </c>
    </row>
    <row r="23" spans="2:16" x14ac:dyDescent="0.3">
      <c r="B23" t="s">
        <v>14</v>
      </c>
      <c r="C23" t="s">
        <v>22</v>
      </c>
      <c r="D23">
        <v>30</v>
      </c>
      <c r="E23">
        <v>60</v>
      </c>
      <c r="F23">
        <v>60</v>
      </c>
      <c r="G23">
        <v>30</v>
      </c>
      <c r="H23">
        <v>30</v>
      </c>
      <c r="I23">
        <v>115</v>
      </c>
      <c r="J23">
        <v>150</v>
      </c>
      <c r="K23">
        <v>70</v>
      </c>
      <c r="L23">
        <v>70</v>
      </c>
      <c r="M23">
        <v>46</v>
      </c>
      <c r="N23">
        <v>64</v>
      </c>
      <c r="O23">
        <v>40</v>
      </c>
      <c r="P23">
        <v>60</v>
      </c>
    </row>
    <row r="24" spans="2:16" x14ac:dyDescent="0.3">
      <c r="B24" t="s">
        <v>14</v>
      </c>
      <c r="C24" t="s">
        <v>23</v>
      </c>
      <c r="D24">
        <v>60</v>
      </c>
      <c r="E24">
        <v>30</v>
      </c>
      <c r="F24">
        <v>60</v>
      </c>
      <c r="G24">
        <v>45</v>
      </c>
      <c r="H24">
        <v>45</v>
      </c>
      <c r="I24">
        <v>150</v>
      </c>
      <c r="J24">
        <v>115</v>
      </c>
      <c r="K24">
        <v>90</v>
      </c>
      <c r="L24">
        <v>90</v>
      </c>
      <c r="M24">
        <v>64</v>
      </c>
      <c r="N24">
        <v>46</v>
      </c>
      <c r="O24">
        <v>60</v>
      </c>
      <c r="P24">
        <v>40</v>
      </c>
    </row>
    <row r="25" spans="2:16" x14ac:dyDescent="0.3">
      <c r="B25" t="s">
        <v>16</v>
      </c>
      <c r="C25" t="s">
        <v>24</v>
      </c>
      <c r="D25">
        <v>20</v>
      </c>
      <c r="E25">
        <v>10</v>
      </c>
      <c r="F25">
        <v>15</v>
      </c>
      <c r="G25">
        <v>20</v>
      </c>
      <c r="H25">
        <v>30</v>
      </c>
      <c r="I25">
        <v>10</v>
      </c>
      <c r="J25">
        <v>30</v>
      </c>
      <c r="K25">
        <v>15</v>
      </c>
      <c r="L25">
        <v>5</v>
      </c>
      <c r="M25">
        <v>20</v>
      </c>
      <c r="N25">
        <v>30</v>
      </c>
      <c r="O25">
        <v>20</v>
      </c>
      <c r="P25">
        <v>15</v>
      </c>
    </row>
    <row r="26" spans="2:16" x14ac:dyDescent="0.3">
      <c r="B26" t="s">
        <v>16</v>
      </c>
      <c r="C26" t="s">
        <v>25</v>
      </c>
      <c r="D26">
        <v>20</v>
      </c>
      <c r="E26">
        <v>20</v>
      </c>
      <c r="F26">
        <v>10</v>
      </c>
      <c r="G26">
        <v>30</v>
      </c>
      <c r="H26">
        <v>15</v>
      </c>
      <c r="I26">
        <v>20</v>
      </c>
      <c r="J26">
        <v>45</v>
      </c>
      <c r="K26">
        <v>70</v>
      </c>
      <c r="L26">
        <v>15</v>
      </c>
      <c r="M26">
        <v>40</v>
      </c>
      <c r="N26">
        <v>10</v>
      </c>
      <c r="O26">
        <v>40</v>
      </c>
      <c r="P26">
        <v>35</v>
      </c>
    </row>
    <row r="27" spans="2:16" x14ac:dyDescent="0.3">
      <c r="B27" t="s">
        <v>16</v>
      </c>
      <c r="C27" t="s">
        <v>26</v>
      </c>
      <c r="D27">
        <v>30</v>
      </c>
      <c r="E27">
        <v>60</v>
      </c>
      <c r="F27">
        <v>60</v>
      </c>
      <c r="G27">
        <v>30</v>
      </c>
      <c r="H27">
        <v>30</v>
      </c>
      <c r="I27">
        <v>115</v>
      </c>
      <c r="J27">
        <v>150</v>
      </c>
      <c r="K27">
        <v>70</v>
      </c>
      <c r="L27">
        <v>70</v>
      </c>
      <c r="M27">
        <v>46</v>
      </c>
      <c r="N27">
        <v>64</v>
      </c>
      <c r="O27">
        <v>40</v>
      </c>
      <c r="P27">
        <v>60</v>
      </c>
    </row>
    <row r="28" spans="2:16" x14ac:dyDescent="0.3">
      <c r="B28" t="s">
        <v>16</v>
      </c>
      <c r="C28" t="s">
        <v>27</v>
      </c>
      <c r="D28">
        <v>60</v>
      </c>
      <c r="E28">
        <v>30</v>
      </c>
      <c r="F28">
        <v>60</v>
      </c>
      <c r="G28">
        <v>45</v>
      </c>
      <c r="H28">
        <v>45</v>
      </c>
      <c r="I28">
        <v>150</v>
      </c>
      <c r="J28">
        <v>115</v>
      </c>
      <c r="K28">
        <v>90</v>
      </c>
      <c r="L28">
        <v>90</v>
      </c>
      <c r="M28">
        <v>64</v>
      </c>
      <c r="N28">
        <v>46</v>
      </c>
      <c r="O28">
        <v>60</v>
      </c>
      <c r="P28">
        <v>40</v>
      </c>
    </row>
    <row r="29" spans="2:16" x14ac:dyDescent="0.3">
      <c r="B29" t="s">
        <v>16</v>
      </c>
      <c r="C29" t="s">
        <v>28</v>
      </c>
      <c r="D29">
        <f>D25-5</f>
        <v>15</v>
      </c>
      <c r="E29">
        <f>E25+5</f>
        <v>15</v>
      </c>
      <c r="F29">
        <f t="shared" ref="F29:J29" si="0">F25-5</f>
        <v>10</v>
      </c>
      <c r="G29">
        <f>G25+5</f>
        <v>25</v>
      </c>
      <c r="H29">
        <f>H25-15</f>
        <v>15</v>
      </c>
      <c r="I29">
        <f>I25+25</f>
        <v>35</v>
      </c>
      <c r="J29">
        <f t="shared" si="0"/>
        <v>25</v>
      </c>
      <c r="K29">
        <v>25</v>
      </c>
      <c r="L29">
        <v>20</v>
      </c>
      <c r="M29">
        <v>30</v>
      </c>
      <c r="N29">
        <f t="shared" ref="N29:O29" si="1">N25-15</f>
        <v>15</v>
      </c>
      <c r="O29">
        <f t="shared" si="1"/>
        <v>5</v>
      </c>
      <c r="P29">
        <v>10</v>
      </c>
    </row>
    <row r="30" spans="2:16" x14ac:dyDescent="0.3">
      <c r="B30" t="s">
        <v>16</v>
      </c>
      <c r="C30" t="s">
        <v>29</v>
      </c>
      <c r="D30">
        <f t="shared" ref="D30:J32" si="2">D26-5</f>
        <v>15</v>
      </c>
      <c r="E30">
        <f t="shared" ref="E30:E32" si="3">E26+5</f>
        <v>25</v>
      </c>
      <c r="F30">
        <f t="shared" si="2"/>
        <v>5</v>
      </c>
      <c r="G30">
        <f t="shared" ref="G30:G32" si="4">G26+5</f>
        <v>35</v>
      </c>
      <c r="H30">
        <v>15</v>
      </c>
      <c r="I30">
        <f t="shared" ref="I30:I32" si="5">I26+25</f>
        <v>45</v>
      </c>
      <c r="J30">
        <f t="shared" si="2"/>
        <v>40</v>
      </c>
      <c r="K30">
        <f t="shared" ref="K30:P32" si="6">K26-15</f>
        <v>55</v>
      </c>
      <c r="L30">
        <v>10</v>
      </c>
      <c r="M30">
        <f t="shared" si="6"/>
        <v>25</v>
      </c>
      <c r="N30">
        <v>10</v>
      </c>
      <c r="O30">
        <f t="shared" si="6"/>
        <v>25</v>
      </c>
      <c r="P30">
        <f t="shared" si="6"/>
        <v>20</v>
      </c>
    </row>
    <row r="31" spans="2:16" x14ac:dyDescent="0.3">
      <c r="B31" t="s">
        <v>16</v>
      </c>
      <c r="C31" t="s">
        <v>30</v>
      </c>
      <c r="D31">
        <f t="shared" si="2"/>
        <v>25</v>
      </c>
      <c r="E31">
        <f t="shared" si="3"/>
        <v>65</v>
      </c>
      <c r="F31">
        <f t="shared" si="2"/>
        <v>55</v>
      </c>
      <c r="G31">
        <f t="shared" si="4"/>
        <v>35</v>
      </c>
      <c r="H31">
        <f t="shared" ref="H31:H32" si="7">H27-15</f>
        <v>15</v>
      </c>
      <c r="I31">
        <f t="shared" si="5"/>
        <v>140</v>
      </c>
      <c r="J31">
        <f t="shared" si="2"/>
        <v>145</v>
      </c>
      <c r="K31">
        <f t="shared" si="6"/>
        <v>55</v>
      </c>
      <c r="L31">
        <f t="shared" si="6"/>
        <v>55</v>
      </c>
      <c r="M31">
        <f t="shared" si="6"/>
        <v>31</v>
      </c>
      <c r="N31">
        <f t="shared" si="6"/>
        <v>49</v>
      </c>
      <c r="O31">
        <f t="shared" si="6"/>
        <v>25</v>
      </c>
      <c r="P31">
        <f t="shared" si="6"/>
        <v>45</v>
      </c>
    </row>
    <row r="32" spans="2:16" x14ac:dyDescent="0.3">
      <c r="B32" t="s">
        <v>16</v>
      </c>
      <c r="C32" t="s">
        <v>31</v>
      </c>
      <c r="D32">
        <f t="shared" si="2"/>
        <v>55</v>
      </c>
      <c r="E32">
        <f t="shared" si="3"/>
        <v>35</v>
      </c>
      <c r="F32">
        <f t="shared" si="2"/>
        <v>55</v>
      </c>
      <c r="G32">
        <f t="shared" si="4"/>
        <v>50</v>
      </c>
      <c r="H32">
        <f t="shared" si="7"/>
        <v>30</v>
      </c>
      <c r="I32">
        <f t="shared" si="5"/>
        <v>175</v>
      </c>
      <c r="J32">
        <f t="shared" si="2"/>
        <v>110</v>
      </c>
      <c r="K32">
        <f t="shared" si="6"/>
        <v>75</v>
      </c>
      <c r="L32">
        <f t="shared" si="6"/>
        <v>75</v>
      </c>
      <c r="M32">
        <f t="shared" si="6"/>
        <v>49</v>
      </c>
      <c r="N32">
        <f t="shared" si="6"/>
        <v>31</v>
      </c>
      <c r="O32">
        <f t="shared" si="6"/>
        <v>45</v>
      </c>
      <c r="P32">
        <f t="shared" si="6"/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5678-E1AF-48BF-8AE2-FDEE3F1AE97D}">
  <dimension ref="A1:C18"/>
  <sheetViews>
    <sheetView tabSelected="1" workbookViewId="0">
      <selection activeCell="I16" sqref="I16"/>
    </sheetView>
  </sheetViews>
  <sheetFormatPr defaultRowHeight="14.4" x14ac:dyDescent="0.3"/>
  <cols>
    <col min="2" max="2" width="10.6640625" bestFit="1" customWidth="1"/>
    <col min="3" max="3" width="10.44140625" bestFit="1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13</v>
      </c>
      <c r="B2" t="s">
        <v>19</v>
      </c>
      <c r="C2">
        <v>15</v>
      </c>
    </row>
    <row r="3" spans="1:3" x14ac:dyDescent="0.3">
      <c r="A3" t="s">
        <v>13</v>
      </c>
      <c r="B3" t="s">
        <v>17</v>
      </c>
      <c r="C3">
        <v>15</v>
      </c>
    </row>
    <row r="4" spans="1:3" x14ac:dyDescent="0.3">
      <c r="A4" t="s">
        <v>13</v>
      </c>
      <c r="B4" t="s">
        <v>18</v>
      </c>
      <c r="C4">
        <v>10</v>
      </c>
    </row>
    <row r="5" spans="1:3" x14ac:dyDescent="0.3">
      <c r="A5" t="s">
        <v>15</v>
      </c>
      <c r="B5" t="s">
        <v>19</v>
      </c>
      <c r="C5">
        <v>60</v>
      </c>
    </row>
    <row r="6" spans="1:3" x14ac:dyDescent="0.3">
      <c r="A6" t="s">
        <v>15</v>
      </c>
      <c r="B6" t="s">
        <v>17</v>
      </c>
      <c r="C6">
        <v>60</v>
      </c>
    </row>
    <row r="7" spans="1:3" x14ac:dyDescent="0.3">
      <c r="A7" t="s">
        <v>14</v>
      </c>
      <c r="B7" t="s">
        <v>20</v>
      </c>
      <c r="C7">
        <v>15</v>
      </c>
    </row>
    <row r="8" spans="1:3" x14ac:dyDescent="0.3">
      <c r="A8" t="s">
        <v>14</v>
      </c>
      <c r="B8" t="s">
        <v>21</v>
      </c>
      <c r="C8">
        <v>10</v>
      </c>
    </row>
    <row r="9" spans="1:3" x14ac:dyDescent="0.3">
      <c r="A9" t="s">
        <v>14</v>
      </c>
      <c r="B9" t="s">
        <v>22</v>
      </c>
      <c r="C9">
        <v>60</v>
      </c>
    </row>
    <row r="10" spans="1:3" x14ac:dyDescent="0.3">
      <c r="A10" t="s">
        <v>14</v>
      </c>
      <c r="B10" t="s">
        <v>35</v>
      </c>
      <c r="C10">
        <v>60</v>
      </c>
    </row>
    <row r="11" spans="1:3" x14ac:dyDescent="0.3">
      <c r="A11" t="s">
        <v>16</v>
      </c>
      <c r="B11" t="s">
        <v>24</v>
      </c>
      <c r="C11">
        <v>15</v>
      </c>
    </row>
    <row r="12" spans="1:3" x14ac:dyDescent="0.3">
      <c r="A12" t="s">
        <v>16</v>
      </c>
      <c r="B12" t="s">
        <v>36</v>
      </c>
      <c r="C12">
        <v>10</v>
      </c>
    </row>
    <row r="13" spans="1:3" x14ac:dyDescent="0.3">
      <c r="A13" t="s">
        <v>16</v>
      </c>
      <c r="B13" t="s">
        <v>37</v>
      </c>
      <c r="C13">
        <v>60</v>
      </c>
    </row>
    <row r="14" spans="1:3" x14ac:dyDescent="0.3">
      <c r="A14" t="s">
        <v>16</v>
      </c>
      <c r="B14" t="s">
        <v>38</v>
      </c>
      <c r="C14">
        <v>60</v>
      </c>
    </row>
    <row r="15" spans="1:3" x14ac:dyDescent="0.3">
      <c r="A15" t="s">
        <v>16</v>
      </c>
      <c r="B15" t="s">
        <v>39</v>
      </c>
      <c r="C15">
        <v>10</v>
      </c>
    </row>
    <row r="16" spans="1:3" x14ac:dyDescent="0.3">
      <c r="A16" t="s">
        <v>16</v>
      </c>
      <c r="B16" t="s">
        <v>40</v>
      </c>
      <c r="C16">
        <v>5</v>
      </c>
    </row>
    <row r="17" spans="1:3" x14ac:dyDescent="0.3">
      <c r="A17" t="s">
        <v>16</v>
      </c>
      <c r="B17" t="s">
        <v>41</v>
      </c>
      <c r="C17">
        <v>55</v>
      </c>
    </row>
    <row r="18" spans="1:3" x14ac:dyDescent="0.3">
      <c r="A18" t="s">
        <v>16</v>
      </c>
      <c r="B18" t="s">
        <v>42</v>
      </c>
      <c r="C18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Edson Silva</cp:lastModifiedBy>
  <dcterms:created xsi:type="dcterms:W3CDTF">2024-06-05T16:43:09Z</dcterms:created>
  <dcterms:modified xsi:type="dcterms:W3CDTF">2024-06-07T00:24:57Z</dcterms:modified>
</cp:coreProperties>
</file>