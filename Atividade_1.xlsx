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G:\Meu Drive\UFPE\projeto mestrado\bioestatística\"/>
    </mc:Choice>
  </mc:AlternateContent>
  <xr:revisionPtr revIDLastSave="0" documentId="13_ncr:1_{7FCE48D8-AE3F-41BA-87FF-570DD96F6CE1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Plan1" sheetId="1" r:id="rId1"/>
    <sheet name="Plan2" sheetId="2" r:id="rId2"/>
    <sheet name="Planilha1" sheetId="3" r:id="rId3"/>
    <sheet name="Planilha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4" l="1"/>
  <c r="B10" i="4"/>
  <c r="B9" i="4"/>
  <c r="B8" i="4"/>
  <c r="B7" i="4"/>
  <c r="B6" i="4"/>
  <c r="B5" i="4"/>
  <c r="B4" i="4"/>
  <c r="B3" i="4"/>
  <c r="B2" i="4"/>
  <c r="AA11" i="3"/>
  <c r="U11" i="3"/>
  <c r="Y11" i="3" s="1"/>
  <c r="S11" i="3"/>
  <c r="Q11" i="3"/>
  <c r="O11" i="3"/>
  <c r="M11" i="3"/>
  <c r="K11" i="3"/>
  <c r="I11" i="3"/>
  <c r="AA10" i="3"/>
  <c r="U10" i="3"/>
  <c r="W10" i="3" s="1"/>
  <c r="S10" i="3"/>
  <c r="Q10" i="3"/>
  <c r="O10" i="3"/>
  <c r="M10" i="3"/>
  <c r="K10" i="3"/>
  <c r="I10" i="3"/>
  <c r="AA9" i="3"/>
  <c r="U9" i="3"/>
  <c r="Y9" i="3" s="1"/>
  <c r="S9" i="3"/>
  <c r="Q9" i="3"/>
  <c r="O9" i="3"/>
  <c r="M9" i="3"/>
  <c r="K9" i="3"/>
  <c r="I9" i="3"/>
  <c r="AA8" i="3"/>
  <c r="U8" i="3"/>
  <c r="W8" i="3" s="1"/>
  <c r="S8" i="3"/>
  <c r="Q8" i="3"/>
  <c r="O8" i="3"/>
  <c r="M8" i="3"/>
  <c r="K8" i="3"/>
  <c r="I8" i="3"/>
  <c r="AA7" i="3"/>
  <c r="U7" i="3"/>
  <c r="W7" i="3" s="1"/>
  <c r="S7" i="3"/>
  <c r="Q7" i="3"/>
  <c r="O7" i="3"/>
  <c r="M7" i="3"/>
  <c r="K7" i="3"/>
  <c r="I7" i="3"/>
  <c r="AA6" i="3"/>
  <c r="U6" i="3"/>
  <c r="W6" i="3" s="1"/>
  <c r="S6" i="3"/>
  <c r="Q6" i="3"/>
  <c r="O6" i="3"/>
  <c r="M6" i="3"/>
  <c r="K6" i="3"/>
  <c r="I6" i="3"/>
  <c r="AA5" i="3"/>
  <c r="U5" i="3"/>
  <c r="W5" i="3" s="1"/>
  <c r="S5" i="3"/>
  <c r="Q5" i="3"/>
  <c r="O5" i="3"/>
  <c r="M5" i="3"/>
  <c r="K5" i="3"/>
  <c r="I5" i="3"/>
  <c r="AA4" i="3"/>
  <c r="U4" i="3"/>
  <c r="W4" i="3" s="1"/>
  <c r="S4" i="3"/>
  <c r="Q4" i="3"/>
  <c r="O4" i="3"/>
  <c r="M4" i="3"/>
  <c r="K4" i="3"/>
  <c r="I4" i="3"/>
  <c r="AA3" i="3"/>
  <c r="U3" i="3"/>
  <c r="Y3" i="3" s="1"/>
  <c r="S3" i="3"/>
  <c r="Q3" i="3"/>
  <c r="O3" i="3"/>
  <c r="M3" i="3"/>
  <c r="K3" i="3"/>
  <c r="I3" i="3"/>
  <c r="AA2" i="3"/>
  <c r="U2" i="3"/>
  <c r="Y2" i="3" s="1"/>
  <c r="S2" i="3"/>
  <c r="Q2" i="3"/>
  <c r="O2" i="3"/>
  <c r="M2" i="3"/>
  <c r="K2" i="3"/>
  <c r="I2" i="3"/>
  <c r="AB25" i="1"/>
  <c r="V25" i="1"/>
  <c r="T25" i="1"/>
  <c r="R25" i="1"/>
  <c r="P25" i="1"/>
  <c r="N25" i="1"/>
  <c r="L25" i="1"/>
  <c r="J25" i="1"/>
  <c r="AB24" i="1"/>
  <c r="V24" i="1"/>
  <c r="Z24" i="1" s="1"/>
  <c r="T24" i="1"/>
  <c r="R24" i="1"/>
  <c r="P24" i="1"/>
  <c r="N24" i="1"/>
  <c r="L24" i="1"/>
  <c r="J24" i="1"/>
  <c r="AB23" i="1"/>
  <c r="V23" i="1"/>
  <c r="Z23" i="1" s="1"/>
  <c r="T23" i="1"/>
  <c r="R23" i="1"/>
  <c r="P23" i="1"/>
  <c r="N23" i="1"/>
  <c r="L23" i="1"/>
  <c r="J23" i="1"/>
  <c r="AB22" i="1"/>
  <c r="V22" i="1"/>
  <c r="T22" i="1"/>
  <c r="R22" i="1"/>
  <c r="P22" i="1"/>
  <c r="N22" i="1"/>
  <c r="L22" i="1"/>
  <c r="J22" i="1"/>
  <c r="AB21" i="1"/>
  <c r="V21" i="1"/>
  <c r="X21" i="1" s="1"/>
  <c r="T21" i="1"/>
  <c r="R21" i="1"/>
  <c r="P21" i="1"/>
  <c r="N21" i="1"/>
  <c r="L21" i="1"/>
  <c r="J21" i="1"/>
  <c r="AB20" i="1"/>
  <c r="V20" i="1"/>
  <c r="T20" i="1"/>
  <c r="R20" i="1"/>
  <c r="P20" i="1"/>
  <c r="N20" i="1"/>
  <c r="L20" i="1"/>
  <c r="J20" i="1"/>
  <c r="AB19" i="1"/>
  <c r="V19" i="1"/>
  <c r="T19" i="1"/>
  <c r="R19" i="1"/>
  <c r="P19" i="1"/>
  <c r="N19" i="1"/>
  <c r="L19" i="1"/>
  <c r="J19" i="1"/>
  <c r="AB18" i="1"/>
  <c r="V18" i="1"/>
  <c r="Z18" i="1" s="1"/>
  <c r="T18" i="1"/>
  <c r="R18" i="1"/>
  <c r="P18" i="1"/>
  <c r="N18" i="1"/>
  <c r="L18" i="1"/>
  <c r="J18" i="1"/>
  <c r="AB17" i="1"/>
  <c r="V17" i="1"/>
  <c r="T17" i="1"/>
  <c r="R17" i="1"/>
  <c r="P17" i="1"/>
  <c r="N17" i="1"/>
  <c r="L17" i="1"/>
  <c r="J17" i="1"/>
  <c r="AB16" i="1"/>
  <c r="V16" i="1"/>
  <c r="Z16" i="1" s="1"/>
  <c r="T16" i="1"/>
  <c r="R16" i="1"/>
  <c r="P16" i="1"/>
  <c r="N16" i="1"/>
  <c r="L16" i="1"/>
  <c r="J16" i="1"/>
  <c r="Y8" i="3" l="1"/>
  <c r="Y10" i="3"/>
  <c r="Y4" i="3"/>
  <c r="Y5" i="3"/>
  <c r="W2" i="3"/>
  <c r="Y6" i="3"/>
  <c r="Y7" i="3"/>
  <c r="W9" i="3"/>
  <c r="W3" i="3"/>
  <c r="W11" i="3"/>
  <c r="X16" i="1"/>
  <c r="X24" i="1"/>
  <c r="Z21" i="1"/>
  <c r="X19" i="1"/>
  <c r="Z19" i="1"/>
  <c r="X22" i="1"/>
  <c r="X17" i="1"/>
  <c r="Z22" i="1"/>
  <c r="X25" i="1"/>
  <c r="Z17" i="1"/>
  <c r="X20" i="1"/>
  <c r="Z25" i="1"/>
  <c r="Z20" i="1"/>
  <c r="X23" i="1"/>
  <c r="X18" i="1"/>
</calcChain>
</file>

<file path=xl/sharedStrings.xml><?xml version="1.0" encoding="utf-8"?>
<sst xmlns="http://schemas.openxmlformats.org/spreadsheetml/2006/main" count="69" uniqueCount="32">
  <si>
    <t>REPETIÇÕES</t>
  </si>
  <si>
    <t>20231023910 --</t>
  </si>
  <si>
    <t>ANA BEATRIZ CARNEIRO CORREA</t>
  </si>
  <si>
    <t>           </t>
  </si>
  <si>
    <t>--</t>
  </si>
  <si>
    <t>20231023920 --</t>
  </si>
  <si>
    <t>BRUNA RAFAELA MONTEIRO CAMPELO</t>
  </si>
  <si>
    <t>20241006010 --</t>
  </si>
  <si>
    <t>EDSON NILTON DE MOURA SILVA JÚNIOR</t>
  </si>
  <si>
    <t>20221017366 --</t>
  </si>
  <si>
    <t>ERICLES CHARLES DA SILVA MELO</t>
  </si>
  <si>
    <t>20201027300 --</t>
  </si>
  <si>
    <t>HENRIQUE RAFAEL PONTES FERREIRA</t>
  </si>
  <si>
    <t>20231012579 --</t>
  </si>
  <si>
    <t>JOAO MIGUEL RIBEIRO COSTA</t>
  </si>
  <si>
    <t>20241018048 --</t>
  </si>
  <si>
    <t>LORENA SANT'ANA COUTINHO DE OLIVEIRA</t>
  </si>
  <si>
    <t>20241003340 --</t>
  </si>
  <si>
    <t>MARCELO RODRIGUES ALVES FREITAS</t>
  </si>
  <si>
    <t>20231023957 --</t>
  </si>
  <si>
    <t>MARIA BEATRIZ NUNES DE SOUZA</t>
  </si>
  <si>
    <t>20231023975 --</t>
  </si>
  <si>
    <t>MARIA ISABEL DE OLIVEIRA LOPES GOMES</t>
  </si>
  <si>
    <t>20231003112 --</t>
  </si>
  <si>
    <t>THAIS LARISSA LIMA SANTANA</t>
  </si>
  <si>
    <t>20241003359 --</t>
  </si>
  <si>
    <t>THIAGO HENRIQUE DE SOUSA</t>
  </si>
  <si>
    <t>20231024014 --</t>
  </si>
  <si>
    <t>WESLEY MANOEL SILVA SANTOS</t>
  </si>
  <si>
    <t>Repetições</t>
  </si>
  <si>
    <t>Tratamento 1</t>
  </si>
  <si>
    <t>Tratamento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</si>
</sst>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Verdana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9FBFD"/>
        <bgColor indexed="64"/>
      </patternFill>
    </fill>
    <fill>
      <patternFill patternType="solid">
        <fgColor rgb="FFEDF1F8"/>
        <bgColor indexed="64"/>
      </patternFill>
    </fill>
  </fills>
  <borders count="12">
    <border>
      <left/>
      <right/>
      <top/>
      <bottom/>
      <diagonal/>
    </border>
    <border>
      <left/>
      <right style="medium">
        <color rgb="FF888888"/>
      </right>
      <top/>
      <bottom/>
      <diagonal/>
    </border>
    <border>
      <left style="medium">
        <color rgb="FFDEDFE3"/>
      </left>
      <right/>
      <top style="medium">
        <color rgb="FFDEDFE3"/>
      </top>
      <bottom/>
      <diagonal/>
    </border>
    <border>
      <left/>
      <right/>
      <top style="medium">
        <color rgb="FFDEDFE3"/>
      </top>
      <bottom/>
      <diagonal/>
    </border>
    <border>
      <left/>
      <right style="medium">
        <color rgb="FF888888"/>
      </right>
      <top style="medium">
        <color rgb="FFDEDFE3"/>
      </top>
      <bottom/>
      <diagonal/>
    </border>
    <border>
      <left/>
      <right style="medium">
        <color rgb="FFDEDFE3"/>
      </right>
      <top style="medium">
        <color rgb="FFDEDFE3"/>
      </top>
      <bottom/>
      <diagonal/>
    </border>
    <border>
      <left style="medium">
        <color rgb="FFDEDFE3"/>
      </left>
      <right/>
      <top/>
      <bottom/>
      <diagonal/>
    </border>
    <border>
      <left/>
      <right style="medium">
        <color rgb="FFDEDFE3"/>
      </right>
      <top/>
      <bottom/>
      <diagonal/>
    </border>
    <border>
      <left style="medium">
        <color rgb="FFDEDFE3"/>
      </left>
      <right/>
      <top/>
      <bottom style="medium">
        <color rgb="FFDEDFE3"/>
      </bottom>
      <diagonal/>
    </border>
    <border>
      <left/>
      <right/>
      <top/>
      <bottom style="medium">
        <color rgb="FFDEDFE3"/>
      </bottom>
      <diagonal/>
    </border>
    <border>
      <left/>
      <right style="medium">
        <color rgb="FF888888"/>
      </right>
      <top/>
      <bottom style="medium">
        <color rgb="FFDEDFE3"/>
      </bottom>
      <diagonal/>
    </border>
    <border>
      <left/>
      <right style="medium">
        <color rgb="FFDEDFE3"/>
      </right>
      <top/>
      <bottom style="medium">
        <color rgb="FFDEDFE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4" borderId="0" xfId="0" applyFont="1" applyFill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right" vertical="center"/>
    </xf>
    <xf numFmtId="0" fontId="2" fillId="5" borderId="1" xfId="0" applyFont="1" applyFill="1" applyBorder="1" applyAlignment="1">
      <alignment vertical="center"/>
    </xf>
    <xf numFmtId="0" fontId="2" fillId="5" borderId="0" xfId="0" applyFont="1" applyFill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/>
    </xf>
    <xf numFmtId="0" fontId="2" fillId="4" borderId="3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vertical="center"/>
    </xf>
    <xf numFmtId="0" fontId="2" fillId="4" borderId="3" xfId="0" applyFont="1" applyFill="1" applyBorder="1" applyAlignment="1">
      <alignment horizontal="center" vertical="center" wrapText="1"/>
    </xf>
    <xf numFmtId="0" fontId="3" fillId="4" borderId="5" xfId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right" vertical="center"/>
    </xf>
    <xf numFmtId="0" fontId="3" fillId="5" borderId="7" xfId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right" vertical="center"/>
    </xf>
    <xf numFmtId="0" fontId="3" fillId="4" borderId="7" xfId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right"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/>
    </xf>
    <xf numFmtId="0" fontId="2" fillId="4" borderId="9" xfId="0" applyFont="1" applyFill="1" applyBorder="1" applyAlignment="1">
      <alignment horizontal="center" vertical="center" wrapText="1"/>
    </xf>
    <xf numFmtId="0" fontId="3" fillId="4" borderId="11" xfId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textRotation="90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13" Type="http://schemas.openxmlformats.org/officeDocument/2006/relationships/image" Target="../media/image5.emf"/><Relationship Id="rId3" Type="http://schemas.openxmlformats.org/officeDocument/2006/relationships/image" Target="../media/image12.emf"/><Relationship Id="rId7" Type="http://schemas.openxmlformats.org/officeDocument/2006/relationships/image" Target="../media/image6.emf"/><Relationship Id="rId12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3.emf"/><Relationship Id="rId6" Type="http://schemas.openxmlformats.org/officeDocument/2006/relationships/image" Target="../media/image13.emf"/><Relationship Id="rId11" Type="http://schemas.openxmlformats.org/officeDocument/2006/relationships/image" Target="../media/image10.emf"/><Relationship Id="rId5" Type="http://schemas.openxmlformats.org/officeDocument/2006/relationships/image" Target="../media/image14.emf"/><Relationship Id="rId15" Type="http://schemas.openxmlformats.org/officeDocument/2006/relationships/image" Target="../media/image1.emf"/><Relationship Id="rId10" Type="http://schemas.openxmlformats.org/officeDocument/2006/relationships/image" Target="../media/image11.emf"/><Relationship Id="rId4" Type="http://schemas.openxmlformats.org/officeDocument/2006/relationships/image" Target="../media/image15.emf"/><Relationship Id="rId9" Type="http://schemas.openxmlformats.org/officeDocument/2006/relationships/image" Target="../media/image8.emf"/><Relationship Id="rId1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0</xdr:row>
          <xdr:rowOff>0</xdr:rowOff>
        </xdr:from>
        <xdr:to>
          <xdr:col>4</xdr:col>
          <xdr:colOff>129540</xdr:colOff>
          <xdr:row>1</xdr:row>
          <xdr:rowOff>47625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358140</xdr:colOff>
          <xdr:row>1</xdr:row>
          <xdr:rowOff>47625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5</xdr:col>
      <xdr:colOff>0</xdr:colOff>
      <xdr:row>0</xdr:row>
      <xdr:rowOff>0</xdr:rowOff>
    </xdr:from>
    <xdr:to>
      <xdr:col>5</xdr:col>
      <xdr:colOff>152400</xdr:colOff>
      <xdr:row>0</xdr:row>
      <xdr:rowOff>152400</xdr:rowOff>
    </xdr:to>
    <xdr:pic>
      <xdr:nvPicPr>
        <xdr:cNvPr id="4" name="Imagem 3" descr="https://sigaa.ufpe.br/sigaa/img/consolidacao/arrow_right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358140</xdr:colOff>
          <xdr:row>1</xdr:row>
          <xdr:rowOff>47625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</xdr:row>
          <xdr:rowOff>1905</xdr:rowOff>
        </xdr:from>
        <xdr:to>
          <xdr:col>4</xdr:col>
          <xdr:colOff>129540</xdr:colOff>
          <xdr:row>2</xdr:row>
          <xdr:rowOff>49530</xdr:rowOff>
        </xdr:to>
        <xdr:sp macro="" textlink="">
          <xdr:nvSpPr>
            <xdr:cNvPr id="2053" name="Control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</xdr:row>
          <xdr:rowOff>1905</xdr:rowOff>
        </xdr:from>
        <xdr:to>
          <xdr:col>4</xdr:col>
          <xdr:colOff>358140</xdr:colOff>
          <xdr:row>2</xdr:row>
          <xdr:rowOff>49530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5</xdr:col>
      <xdr:colOff>0</xdr:colOff>
      <xdr:row>1</xdr:row>
      <xdr:rowOff>0</xdr:rowOff>
    </xdr:from>
    <xdr:to>
      <xdr:col>5</xdr:col>
      <xdr:colOff>152400</xdr:colOff>
      <xdr:row>1</xdr:row>
      <xdr:rowOff>152400</xdr:rowOff>
    </xdr:to>
    <xdr:pic>
      <xdr:nvPicPr>
        <xdr:cNvPr id="8" name="Imagem 7" descr="https://sigaa.ufpe.br/sigaa/img/consolidacao/arrow_right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1905</xdr:rowOff>
        </xdr:from>
        <xdr:to>
          <xdr:col>6</xdr:col>
          <xdr:colOff>358140</xdr:colOff>
          <xdr:row>2</xdr:row>
          <xdr:rowOff>49530</xdr:rowOff>
        </xdr:to>
        <xdr:sp macro="" textlink="">
          <xdr:nvSpPr>
            <xdr:cNvPr id="2056" name="Control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3810</xdr:rowOff>
        </xdr:from>
        <xdr:to>
          <xdr:col>4</xdr:col>
          <xdr:colOff>129540</xdr:colOff>
          <xdr:row>3</xdr:row>
          <xdr:rowOff>51435</xdr:rowOff>
        </xdr:to>
        <xdr:sp macro="" textlink="">
          <xdr:nvSpPr>
            <xdr:cNvPr id="2057" name="Control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3810</xdr:rowOff>
        </xdr:from>
        <xdr:to>
          <xdr:col>4</xdr:col>
          <xdr:colOff>358140</xdr:colOff>
          <xdr:row>3</xdr:row>
          <xdr:rowOff>51435</xdr:rowOff>
        </xdr:to>
        <xdr:sp macro="" textlink="">
          <xdr:nvSpPr>
            <xdr:cNvPr id="2058" name="Control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5</xdr:col>
      <xdr:colOff>0</xdr:colOff>
      <xdr:row>2</xdr:row>
      <xdr:rowOff>0</xdr:rowOff>
    </xdr:from>
    <xdr:to>
      <xdr:col>5</xdr:col>
      <xdr:colOff>152400</xdr:colOff>
      <xdr:row>2</xdr:row>
      <xdr:rowOff>152400</xdr:rowOff>
    </xdr:to>
    <xdr:pic>
      <xdr:nvPicPr>
        <xdr:cNvPr id="12" name="Imagem 11" descr="https://sigaa.ufpe.br/sigaa/img/consolidacao/arrow_right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3810</xdr:rowOff>
        </xdr:from>
        <xdr:to>
          <xdr:col>6</xdr:col>
          <xdr:colOff>358140</xdr:colOff>
          <xdr:row>3</xdr:row>
          <xdr:rowOff>51435</xdr:rowOff>
        </xdr:to>
        <xdr:sp macro="" textlink="">
          <xdr:nvSpPr>
            <xdr:cNvPr id="2060" name="Control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</xdr:row>
          <xdr:rowOff>5715</xdr:rowOff>
        </xdr:from>
        <xdr:to>
          <xdr:col>4</xdr:col>
          <xdr:colOff>129540</xdr:colOff>
          <xdr:row>4</xdr:row>
          <xdr:rowOff>53340</xdr:rowOff>
        </xdr:to>
        <xdr:sp macro="" textlink="">
          <xdr:nvSpPr>
            <xdr:cNvPr id="2061" name="Control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5715</xdr:rowOff>
        </xdr:from>
        <xdr:to>
          <xdr:col>4</xdr:col>
          <xdr:colOff>358140</xdr:colOff>
          <xdr:row>4</xdr:row>
          <xdr:rowOff>53340</xdr:rowOff>
        </xdr:to>
        <xdr:sp macro="" textlink="">
          <xdr:nvSpPr>
            <xdr:cNvPr id="2062" name="Control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5</xdr:col>
      <xdr:colOff>0</xdr:colOff>
      <xdr:row>3</xdr:row>
      <xdr:rowOff>0</xdr:rowOff>
    </xdr:from>
    <xdr:to>
      <xdr:col>5</xdr:col>
      <xdr:colOff>152400</xdr:colOff>
      <xdr:row>3</xdr:row>
      <xdr:rowOff>152400</xdr:rowOff>
    </xdr:to>
    <xdr:pic>
      <xdr:nvPicPr>
        <xdr:cNvPr id="16" name="Imagem 15" descr="https://sigaa.ufpe.br/sigaa/img/consolidacao/arrow_right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5715</xdr:rowOff>
        </xdr:from>
        <xdr:to>
          <xdr:col>6</xdr:col>
          <xdr:colOff>358140</xdr:colOff>
          <xdr:row>4</xdr:row>
          <xdr:rowOff>53340</xdr:rowOff>
        </xdr:to>
        <xdr:sp macro="" textlink="">
          <xdr:nvSpPr>
            <xdr:cNvPr id="2064" name="Control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</xdr:row>
          <xdr:rowOff>7620</xdr:rowOff>
        </xdr:from>
        <xdr:to>
          <xdr:col>4</xdr:col>
          <xdr:colOff>129540</xdr:colOff>
          <xdr:row>5</xdr:row>
          <xdr:rowOff>55245</xdr:rowOff>
        </xdr:to>
        <xdr:sp macro="" textlink="">
          <xdr:nvSpPr>
            <xdr:cNvPr id="2065" name="Control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</xdr:row>
          <xdr:rowOff>7620</xdr:rowOff>
        </xdr:from>
        <xdr:to>
          <xdr:col>4</xdr:col>
          <xdr:colOff>358140</xdr:colOff>
          <xdr:row>5</xdr:row>
          <xdr:rowOff>55245</xdr:rowOff>
        </xdr:to>
        <xdr:sp macro="" textlink="">
          <xdr:nvSpPr>
            <xdr:cNvPr id="2066" name="Control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5</xdr:col>
      <xdr:colOff>0</xdr:colOff>
      <xdr:row>4</xdr:row>
      <xdr:rowOff>0</xdr:rowOff>
    </xdr:from>
    <xdr:to>
      <xdr:col>5</xdr:col>
      <xdr:colOff>152400</xdr:colOff>
      <xdr:row>4</xdr:row>
      <xdr:rowOff>152400</xdr:rowOff>
    </xdr:to>
    <xdr:pic>
      <xdr:nvPicPr>
        <xdr:cNvPr id="20" name="Imagem 19" descr="https://sigaa.ufpe.br/sigaa/img/consolidacao/arrow_right.pn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7620</xdr:rowOff>
        </xdr:from>
        <xdr:to>
          <xdr:col>6</xdr:col>
          <xdr:colOff>358140</xdr:colOff>
          <xdr:row>5</xdr:row>
          <xdr:rowOff>55245</xdr:rowOff>
        </xdr:to>
        <xdr:sp macro="" textlink="">
          <xdr:nvSpPr>
            <xdr:cNvPr id="2068" name="Control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</xdr:row>
          <xdr:rowOff>9525</xdr:rowOff>
        </xdr:from>
        <xdr:to>
          <xdr:col>4</xdr:col>
          <xdr:colOff>129540</xdr:colOff>
          <xdr:row>6</xdr:row>
          <xdr:rowOff>57150</xdr:rowOff>
        </xdr:to>
        <xdr:sp macro="" textlink="">
          <xdr:nvSpPr>
            <xdr:cNvPr id="2069" name="Control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</xdr:row>
          <xdr:rowOff>9525</xdr:rowOff>
        </xdr:from>
        <xdr:to>
          <xdr:col>4</xdr:col>
          <xdr:colOff>358140</xdr:colOff>
          <xdr:row>6</xdr:row>
          <xdr:rowOff>57150</xdr:rowOff>
        </xdr:to>
        <xdr:sp macro="" textlink="">
          <xdr:nvSpPr>
            <xdr:cNvPr id="2070" name="Control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5</xdr:col>
      <xdr:colOff>0</xdr:colOff>
      <xdr:row>5</xdr:row>
      <xdr:rowOff>0</xdr:rowOff>
    </xdr:from>
    <xdr:to>
      <xdr:col>5</xdr:col>
      <xdr:colOff>152400</xdr:colOff>
      <xdr:row>5</xdr:row>
      <xdr:rowOff>152400</xdr:rowOff>
    </xdr:to>
    <xdr:pic>
      <xdr:nvPicPr>
        <xdr:cNvPr id="24" name="Imagem 23" descr="https://sigaa.ufpe.br/sigaa/img/consolidacao/arrow_right.pn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</xdr:row>
          <xdr:rowOff>9525</xdr:rowOff>
        </xdr:from>
        <xdr:to>
          <xdr:col>6</xdr:col>
          <xdr:colOff>358140</xdr:colOff>
          <xdr:row>6</xdr:row>
          <xdr:rowOff>57150</xdr:rowOff>
        </xdr:to>
        <xdr:sp macro="" textlink="">
          <xdr:nvSpPr>
            <xdr:cNvPr id="2072" name="Control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</xdr:row>
          <xdr:rowOff>11430</xdr:rowOff>
        </xdr:from>
        <xdr:to>
          <xdr:col>4</xdr:col>
          <xdr:colOff>129540</xdr:colOff>
          <xdr:row>7</xdr:row>
          <xdr:rowOff>59055</xdr:rowOff>
        </xdr:to>
        <xdr:sp macro="" textlink="">
          <xdr:nvSpPr>
            <xdr:cNvPr id="2073" name="Control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</xdr:row>
          <xdr:rowOff>11430</xdr:rowOff>
        </xdr:from>
        <xdr:to>
          <xdr:col>4</xdr:col>
          <xdr:colOff>358140</xdr:colOff>
          <xdr:row>7</xdr:row>
          <xdr:rowOff>59055</xdr:rowOff>
        </xdr:to>
        <xdr:sp macro="" textlink="">
          <xdr:nvSpPr>
            <xdr:cNvPr id="2074" name="Control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5</xdr:col>
      <xdr:colOff>0</xdr:colOff>
      <xdr:row>6</xdr:row>
      <xdr:rowOff>0</xdr:rowOff>
    </xdr:from>
    <xdr:to>
      <xdr:col>5</xdr:col>
      <xdr:colOff>152400</xdr:colOff>
      <xdr:row>6</xdr:row>
      <xdr:rowOff>152400</xdr:rowOff>
    </xdr:to>
    <xdr:pic>
      <xdr:nvPicPr>
        <xdr:cNvPr id="28" name="Imagem 27" descr="https://sigaa.ufpe.br/sigaa/img/consolidacao/arrow_right.png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</xdr:row>
          <xdr:rowOff>11430</xdr:rowOff>
        </xdr:from>
        <xdr:to>
          <xdr:col>6</xdr:col>
          <xdr:colOff>358140</xdr:colOff>
          <xdr:row>7</xdr:row>
          <xdr:rowOff>59055</xdr:rowOff>
        </xdr:to>
        <xdr:sp macro="" textlink="">
          <xdr:nvSpPr>
            <xdr:cNvPr id="2076" name="Control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13335</xdr:rowOff>
        </xdr:from>
        <xdr:to>
          <xdr:col>4</xdr:col>
          <xdr:colOff>129540</xdr:colOff>
          <xdr:row>8</xdr:row>
          <xdr:rowOff>60960</xdr:rowOff>
        </xdr:to>
        <xdr:sp macro="" textlink="">
          <xdr:nvSpPr>
            <xdr:cNvPr id="2077" name="Control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13335</xdr:rowOff>
        </xdr:from>
        <xdr:to>
          <xdr:col>4</xdr:col>
          <xdr:colOff>358140</xdr:colOff>
          <xdr:row>8</xdr:row>
          <xdr:rowOff>60960</xdr:rowOff>
        </xdr:to>
        <xdr:sp macro="" textlink="">
          <xdr:nvSpPr>
            <xdr:cNvPr id="2078" name="Control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5</xdr:col>
      <xdr:colOff>0</xdr:colOff>
      <xdr:row>7</xdr:row>
      <xdr:rowOff>0</xdr:rowOff>
    </xdr:from>
    <xdr:to>
      <xdr:col>5</xdr:col>
      <xdr:colOff>152400</xdr:colOff>
      <xdr:row>7</xdr:row>
      <xdr:rowOff>152400</xdr:rowOff>
    </xdr:to>
    <xdr:pic>
      <xdr:nvPicPr>
        <xdr:cNvPr id="32" name="Imagem 31" descr="https://sigaa.ufpe.br/sigaa/img/consolidacao/arrow_right.png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3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</xdr:row>
          <xdr:rowOff>13335</xdr:rowOff>
        </xdr:from>
        <xdr:to>
          <xdr:col>6</xdr:col>
          <xdr:colOff>358140</xdr:colOff>
          <xdr:row>8</xdr:row>
          <xdr:rowOff>60960</xdr:rowOff>
        </xdr:to>
        <xdr:sp macro="" textlink="">
          <xdr:nvSpPr>
            <xdr:cNvPr id="2080" name="Control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</xdr:row>
          <xdr:rowOff>15240</xdr:rowOff>
        </xdr:from>
        <xdr:to>
          <xdr:col>4</xdr:col>
          <xdr:colOff>129540</xdr:colOff>
          <xdr:row>9</xdr:row>
          <xdr:rowOff>62865</xdr:rowOff>
        </xdr:to>
        <xdr:sp macro="" textlink="">
          <xdr:nvSpPr>
            <xdr:cNvPr id="2081" name="Control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</xdr:row>
          <xdr:rowOff>15240</xdr:rowOff>
        </xdr:from>
        <xdr:to>
          <xdr:col>4</xdr:col>
          <xdr:colOff>358140</xdr:colOff>
          <xdr:row>9</xdr:row>
          <xdr:rowOff>62865</xdr:rowOff>
        </xdr:to>
        <xdr:sp macro="" textlink="">
          <xdr:nvSpPr>
            <xdr:cNvPr id="2082" name="Control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5</xdr:col>
      <xdr:colOff>0</xdr:colOff>
      <xdr:row>8</xdr:row>
      <xdr:rowOff>0</xdr:rowOff>
    </xdr:from>
    <xdr:to>
      <xdr:col>5</xdr:col>
      <xdr:colOff>152400</xdr:colOff>
      <xdr:row>8</xdr:row>
      <xdr:rowOff>152400</xdr:rowOff>
    </xdr:to>
    <xdr:pic>
      <xdr:nvPicPr>
        <xdr:cNvPr id="36" name="Imagem 35" descr="https://sigaa.ufpe.br/sigaa/img/consolidacao/arrow_right.png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2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15240</xdr:rowOff>
        </xdr:from>
        <xdr:to>
          <xdr:col>6</xdr:col>
          <xdr:colOff>358140</xdr:colOff>
          <xdr:row>9</xdr:row>
          <xdr:rowOff>62865</xdr:rowOff>
        </xdr:to>
        <xdr:sp macro="" textlink="">
          <xdr:nvSpPr>
            <xdr:cNvPr id="2084" name="Control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</xdr:row>
          <xdr:rowOff>17145</xdr:rowOff>
        </xdr:from>
        <xdr:to>
          <xdr:col>4</xdr:col>
          <xdr:colOff>129540</xdr:colOff>
          <xdr:row>10</xdr:row>
          <xdr:rowOff>64770</xdr:rowOff>
        </xdr:to>
        <xdr:sp macro="" textlink="">
          <xdr:nvSpPr>
            <xdr:cNvPr id="2085" name="Control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17145</xdr:rowOff>
        </xdr:from>
        <xdr:to>
          <xdr:col>4</xdr:col>
          <xdr:colOff>358140</xdr:colOff>
          <xdr:row>10</xdr:row>
          <xdr:rowOff>64770</xdr:rowOff>
        </xdr:to>
        <xdr:sp macro="" textlink="">
          <xdr:nvSpPr>
            <xdr:cNvPr id="2086" name="Control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5</xdr:col>
      <xdr:colOff>0</xdr:colOff>
      <xdr:row>9</xdr:row>
      <xdr:rowOff>0</xdr:rowOff>
    </xdr:from>
    <xdr:to>
      <xdr:col>5</xdr:col>
      <xdr:colOff>152400</xdr:colOff>
      <xdr:row>9</xdr:row>
      <xdr:rowOff>152400</xdr:rowOff>
    </xdr:to>
    <xdr:pic>
      <xdr:nvPicPr>
        <xdr:cNvPr id="40" name="Imagem 39" descr="https://sigaa.ufpe.br/sigaa/img/consolidacao/arrow_right.png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1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</xdr:row>
          <xdr:rowOff>17145</xdr:rowOff>
        </xdr:from>
        <xdr:to>
          <xdr:col>6</xdr:col>
          <xdr:colOff>358140</xdr:colOff>
          <xdr:row>10</xdr:row>
          <xdr:rowOff>64770</xdr:rowOff>
        </xdr:to>
        <xdr:sp macro="" textlink="">
          <xdr:nvSpPr>
            <xdr:cNvPr id="2088" name="Control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19050</xdr:rowOff>
        </xdr:from>
        <xdr:to>
          <xdr:col>4</xdr:col>
          <xdr:colOff>129540</xdr:colOff>
          <xdr:row>11</xdr:row>
          <xdr:rowOff>66675</xdr:rowOff>
        </xdr:to>
        <xdr:sp macro="" textlink="">
          <xdr:nvSpPr>
            <xdr:cNvPr id="2089" name="Control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19050</xdr:rowOff>
        </xdr:from>
        <xdr:to>
          <xdr:col>4</xdr:col>
          <xdr:colOff>358140</xdr:colOff>
          <xdr:row>11</xdr:row>
          <xdr:rowOff>66675</xdr:rowOff>
        </xdr:to>
        <xdr:sp macro="" textlink="">
          <xdr:nvSpPr>
            <xdr:cNvPr id="2090" name="Control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5</xdr:col>
      <xdr:colOff>0</xdr:colOff>
      <xdr:row>10</xdr:row>
      <xdr:rowOff>0</xdr:rowOff>
    </xdr:from>
    <xdr:to>
      <xdr:col>5</xdr:col>
      <xdr:colOff>152400</xdr:colOff>
      <xdr:row>10</xdr:row>
      <xdr:rowOff>152400</xdr:rowOff>
    </xdr:to>
    <xdr:pic>
      <xdr:nvPicPr>
        <xdr:cNvPr id="44" name="Imagem 43" descr="https://sigaa.ufpe.br/sigaa/img/consolidacao/arrow_right.png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</xdr:row>
          <xdr:rowOff>19050</xdr:rowOff>
        </xdr:from>
        <xdr:to>
          <xdr:col>6</xdr:col>
          <xdr:colOff>358140</xdr:colOff>
          <xdr:row>11</xdr:row>
          <xdr:rowOff>66675</xdr:rowOff>
        </xdr:to>
        <xdr:sp macro="" textlink="">
          <xdr:nvSpPr>
            <xdr:cNvPr id="2092" name="Control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</xdr:row>
          <xdr:rowOff>20955</xdr:rowOff>
        </xdr:from>
        <xdr:to>
          <xdr:col>4</xdr:col>
          <xdr:colOff>129540</xdr:colOff>
          <xdr:row>12</xdr:row>
          <xdr:rowOff>68580</xdr:rowOff>
        </xdr:to>
        <xdr:sp macro="" textlink="">
          <xdr:nvSpPr>
            <xdr:cNvPr id="2093" name="Control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20955</xdr:rowOff>
        </xdr:from>
        <xdr:to>
          <xdr:col>4</xdr:col>
          <xdr:colOff>358140</xdr:colOff>
          <xdr:row>12</xdr:row>
          <xdr:rowOff>68580</xdr:rowOff>
        </xdr:to>
        <xdr:sp macro="" textlink="">
          <xdr:nvSpPr>
            <xdr:cNvPr id="2094" name="Control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5</xdr:col>
      <xdr:colOff>0</xdr:colOff>
      <xdr:row>11</xdr:row>
      <xdr:rowOff>0</xdr:rowOff>
    </xdr:from>
    <xdr:to>
      <xdr:col>5</xdr:col>
      <xdr:colOff>152400</xdr:colOff>
      <xdr:row>11</xdr:row>
      <xdr:rowOff>152400</xdr:rowOff>
    </xdr:to>
    <xdr:pic>
      <xdr:nvPicPr>
        <xdr:cNvPr id="48" name="Imagem 47" descr="https://sigaa.ufpe.br/sigaa/img/consolidacao/arrow_right.png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9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</xdr:row>
          <xdr:rowOff>20955</xdr:rowOff>
        </xdr:from>
        <xdr:to>
          <xdr:col>6</xdr:col>
          <xdr:colOff>358140</xdr:colOff>
          <xdr:row>12</xdr:row>
          <xdr:rowOff>68580</xdr:rowOff>
        </xdr:to>
        <xdr:sp macro="" textlink="">
          <xdr:nvSpPr>
            <xdr:cNvPr id="2096" name="Control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22860</xdr:rowOff>
        </xdr:from>
        <xdr:to>
          <xdr:col>4</xdr:col>
          <xdr:colOff>129540</xdr:colOff>
          <xdr:row>13</xdr:row>
          <xdr:rowOff>60960</xdr:rowOff>
        </xdr:to>
        <xdr:sp macro="" textlink="">
          <xdr:nvSpPr>
            <xdr:cNvPr id="2097" name="Control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12</xdr:row>
          <xdr:rowOff>22860</xdr:rowOff>
        </xdr:from>
        <xdr:to>
          <xdr:col>4</xdr:col>
          <xdr:colOff>358140</xdr:colOff>
          <xdr:row>13</xdr:row>
          <xdr:rowOff>60960</xdr:rowOff>
        </xdr:to>
        <xdr:sp macro="" textlink="">
          <xdr:nvSpPr>
            <xdr:cNvPr id="2098" name="Control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5</xdr:col>
      <xdr:colOff>0</xdr:colOff>
      <xdr:row>12</xdr:row>
      <xdr:rowOff>0</xdr:rowOff>
    </xdr:from>
    <xdr:to>
      <xdr:col>5</xdr:col>
      <xdr:colOff>152400</xdr:colOff>
      <xdr:row>12</xdr:row>
      <xdr:rowOff>152400</xdr:rowOff>
    </xdr:to>
    <xdr:pic>
      <xdr:nvPicPr>
        <xdr:cNvPr id="52" name="Imagem 51" descr="https://sigaa.ufpe.br/sigaa/img/consolidacao/arrow_right.png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8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</xdr:row>
          <xdr:rowOff>22860</xdr:rowOff>
        </xdr:from>
        <xdr:to>
          <xdr:col>6</xdr:col>
          <xdr:colOff>358140</xdr:colOff>
          <xdr:row>13</xdr:row>
          <xdr:rowOff>60960</xdr:rowOff>
        </xdr:to>
        <xdr:sp macro="" textlink="">
          <xdr:nvSpPr>
            <xdr:cNvPr id="2100" name="Control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7.xml"/><Relationship Id="rId21" Type="http://schemas.openxmlformats.org/officeDocument/2006/relationships/image" Target="../media/image3.emf"/><Relationship Id="rId42" Type="http://schemas.openxmlformats.org/officeDocument/2006/relationships/control" Target="../activeX/activeX17.xml"/><Relationship Id="rId47" Type="http://schemas.openxmlformats.org/officeDocument/2006/relationships/control" Target="../activeX/activeX21.xml"/><Relationship Id="rId63" Type="http://schemas.openxmlformats.org/officeDocument/2006/relationships/control" Target="../activeX/activeX35.xml"/><Relationship Id="rId68" Type="http://schemas.openxmlformats.org/officeDocument/2006/relationships/control" Target="../activeX/activeX38.xml"/><Relationship Id="rId7" Type="http://schemas.openxmlformats.org/officeDocument/2006/relationships/hyperlink" Target="javascript:void(0)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control" Target="../activeX/activeX1.xml"/><Relationship Id="rId29" Type="http://schemas.openxmlformats.org/officeDocument/2006/relationships/control" Target="../activeX/activeX9.xml"/><Relationship Id="rId11" Type="http://schemas.openxmlformats.org/officeDocument/2006/relationships/hyperlink" Target="javascript:void(0)" TargetMode="External"/><Relationship Id="rId24" Type="http://schemas.openxmlformats.org/officeDocument/2006/relationships/control" Target="../activeX/activeX5.xml"/><Relationship Id="rId32" Type="http://schemas.openxmlformats.org/officeDocument/2006/relationships/control" Target="../activeX/activeX11.xml"/><Relationship Id="rId37" Type="http://schemas.openxmlformats.org/officeDocument/2006/relationships/image" Target="../media/image8.emf"/><Relationship Id="rId40" Type="http://schemas.openxmlformats.org/officeDocument/2006/relationships/control" Target="../activeX/activeX16.xml"/><Relationship Id="rId45" Type="http://schemas.openxmlformats.org/officeDocument/2006/relationships/image" Target="../media/image11.emf"/><Relationship Id="rId53" Type="http://schemas.openxmlformats.org/officeDocument/2006/relationships/control" Target="../activeX/activeX26.xml"/><Relationship Id="rId58" Type="http://schemas.openxmlformats.org/officeDocument/2006/relationships/control" Target="../activeX/activeX31.xml"/><Relationship Id="rId66" Type="http://schemas.openxmlformats.org/officeDocument/2006/relationships/image" Target="../media/image15.emf"/><Relationship Id="rId5" Type="http://schemas.openxmlformats.org/officeDocument/2006/relationships/hyperlink" Target="javascript:void(0)" TargetMode="External"/><Relationship Id="rId61" Type="http://schemas.openxmlformats.org/officeDocument/2006/relationships/control" Target="../activeX/activeX34.xml"/><Relationship Id="rId19" Type="http://schemas.openxmlformats.org/officeDocument/2006/relationships/image" Target="../media/image2.emf"/><Relationship Id="rId14" Type="http://schemas.openxmlformats.org/officeDocument/2006/relationships/drawing" Target="../drawings/drawing1.xml"/><Relationship Id="rId22" Type="http://schemas.openxmlformats.org/officeDocument/2006/relationships/control" Target="../activeX/activeX4.xml"/><Relationship Id="rId27" Type="http://schemas.openxmlformats.org/officeDocument/2006/relationships/image" Target="../media/image5.emf"/><Relationship Id="rId30" Type="http://schemas.openxmlformats.org/officeDocument/2006/relationships/control" Target="../activeX/activeX10.xml"/><Relationship Id="rId35" Type="http://schemas.openxmlformats.org/officeDocument/2006/relationships/image" Target="../media/image7.emf"/><Relationship Id="rId43" Type="http://schemas.openxmlformats.org/officeDocument/2006/relationships/control" Target="../activeX/activeX18.xml"/><Relationship Id="rId48" Type="http://schemas.openxmlformats.org/officeDocument/2006/relationships/control" Target="../activeX/activeX22.xml"/><Relationship Id="rId56" Type="http://schemas.openxmlformats.org/officeDocument/2006/relationships/control" Target="../activeX/activeX29.xml"/><Relationship Id="rId64" Type="http://schemas.openxmlformats.org/officeDocument/2006/relationships/image" Target="../media/image14.emf"/><Relationship Id="rId69" Type="http://schemas.openxmlformats.org/officeDocument/2006/relationships/control" Target="../activeX/activeX39.xml"/><Relationship Id="rId8" Type="http://schemas.openxmlformats.org/officeDocument/2006/relationships/hyperlink" Target="javascript:void(0)" TargetMode="External"/><Relationship Id="rId51" Type="http://schemas.openxmlformats.org/officeDocument/2006/relationships/control" Target="../activeX/activeX24.xml"/><Relationship Id="rId3" Type="http://schemas.openxmlformats.org/officeDocument/2006/relationships/hyperlink" Target="javascript:void(0)" TargetMode="External"/><Relationship Id="rId12" Type="http://schemas.openxmlformats.org/officeDocument/2006/relationships/hyperlink" Target="javascript:void(0)" TargetMode="External"/><Relationship Id="rId17" Type="http://schemas.openxmlformats.org/officeDocument/2006/relationships/image" Target="../media/image1.emf"/><Relationship Id="rId25" Type="http://schemas.openxmlformats.org/officeDocument/2006/relationships/control" Target="../activeX/activeX6.xml"/><Relationship Id="rId33" Type="http://schemas.openxmlformats.org/officeDocument/2006/relationships/control" Target="../activeX/activeX12.xml"/><Relationship Id="rId38" Type="http://schemas.openxmlformats.org/officeDocument/2006/relationships/control" Target="../activeX/activeX15.xml"/><Relationship Id="rId46" Type="http://schemas.openxmlformats.org/officeDocument/2006/relationships/control" Target="../activeX/activeX20.xml"/><Relationship Id="rId59" Type="http://schemas.openxmlformats.org/officeDocument/2006/relationships/control" Target="../activeX/activeX32.xml"/><Relationship Id="rId67" Type="http://schemas.openxmlformats.org/officeDocument/2006/relationships/control" Target="../activeX/activeX37.xml"/><Relationship Id="rId20" Type="http://schemas.openxmlformats.org/officeDocument/2006/relationships/control" Target="../activeX/activeX3.xml"/><Relationship Id="rId41" Type="http://schemas.openxmlformats.org/officeDocument/2006/relationships/image" Target="../media/image10.emf"/><Relationship Id="rId54" Type="http://schemas.openxmlformats.org/officeDocument/2006/relationships/control" Target="../activeX/activeX27.xml"/><Relationship Id="rId62" Type="http://schemas.openxmlformats.org/officeDocument/2006/relationships/image" Target="../media/image13.emf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15" Type="http://schemas.openxmlformats.org/officeDocument/2006/relationships/vmlDrawing" Target="../drawings/vmlDrawing1.vml"/><Relationship Id="rId23" Type="http://schemas.openxmlformats.org/officeDocument/2006/relationships/image" Target="../media/image4.emf"/><Relationship Id="rId28" Type="http://schemas.openxmlformats.org/officeDocument/2006/relationships/control" Target="../activeX/activeX8.xml"/><Relationship Id="rId36" Type="http://schemas.openxmlformats.org/officeDocument/2006/relationships/control" Target="../activeX/activeX14.xml"/><Relationship Id="rId49" Type="http://schemas.openxmlformats.org/officeDocument/2006/relationships/image" Target="../media/image12.emf"/><Relationship Id="rId57" Type="http://schemas.openxmlformats.org/officeDocument/2006/relationships/control" Target="../activeX/activeX30.xml"/><Relationship Id="rId10" Type="http://schemas.openxmlformats.org/officeDocument/2006/relationships/hyperlink" Target="javascript:void(0)" TargetMode="External"/><Relationship Id="rId31" Type="http://schemas.openxmlformats.org/officeDocument/2006/relationships/image" Target="../media/image6.emf"/><Relationship Id="rId44" Type="http://schemas.openxmlformats.org/officeDocument/2006/relationships/control" Target="../activeX/activeX19.xml"/><Relationship Id="rId52" Type="http://schemas.openxmlformats.org/officeDocument/2006/relationships/control" Target="../activeX/activeX25.xml"/><Relationship Id="rId60" Type="http://schemas.openxmlformats.org/officeDocument/2006/relationships/control" Target="../activeX/activeX33.xml"/><Relationship Id="rId65" Type="http://schemas.openxmlformats.org/officeDocument/2006/relationships/control" Target="../activeX/activeX36.xml"/><Relationship Id="rId4" Type="http://schemas.openxmlformats.org/officeDocument/2006/relationships/hyperlink" Target="javascript:void(0)" TargetMode="External"/><Relationship Id="rId9" Type="http://schemas.openxmlformats.org/officeDocument/2006/relationships/hyperlink" Target="javascript:void(0)" TargetMode="External"/><Relationship Id="rId13" Type="http://schemas.openxmlformats.org/officeDocument/2006/relationships/hyperlink" Target="javascript:void(0)" TargetMode="External"/><Relationship Id="rId18" Type="http://schemas.openxmlformats.org/officeDocument/2006/relationships/control" Target="../activeX/activeX2.xml"/><Relationship Id="rId39" Type="http://schemas.openxmlformats.org/officeDocument/2006/relationships/image" Target="../media/image9.emf"/><Relationship Id="rId34" Type="http://schemas.openxmlformats.org/officeDocument/2006/relationships/control" Target="../activeX/activeX13.xml"/><Relationship Id="rId50" Type="http://schemas.openxmlformats.org/officeDocument/2006/relationships/control" Target="../activeX/activeX23.xml"/><Relationship Id="rId55" Type="http://schemas.openxmlformats.org/officeDocument/2006/relationships/control" Target="../activeX/activeX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AD25"/>
  <sheetViews>
    <sheetView topLeftCell="A4" workbookViewId="0">
      <selection activeCell="Z16" sqref="Z16:Z25"/>
    </sheetView>
  </sheetViews>
  <sheetFormatPr defaultRowHeight="14.4" x14ac:dyDescent="0.3"/>
  <sheetData>
    <row r="1" spans="1:30" x14ac:dyDescent="0.3">
      <c r="A1">
        <v>1</v>
      </c>
      <c r="B1" s="11" t="s">
        <v>2</v>
      </c>
    </row>
    <row r="2" spans="1:30" x14ac:dyDescent="0.3">
      <c r="A2">
        <v>2</v>
      </c>
      <c r="B2" s="7" t="s">
        <v>6</v>
      </c>
    </row>
    <row r="3" spans="1:30" x14ac:dyDescent="0.3">
      <c r="A3">
        <v>3</v>
      </c>
      <c r="B3" s="4" t="s">
        <v>8</v>
      </c>
    </row>
    <row r="4" spans="1:30" x14ac:dyDescent="0.3">
      <c r="A4">
        <v>4</v>
      </c>
      <c r="B4" s="7" t="s">
        <v>10</v>
      </c>
    </row>
    <row r="5" spans="1:30" x14ac:dyDescent="0.3">
      <c r="A5">
        <v>5</v>
      </c>
      <c r="B5" s="4" t="s">
        <v>12</v>
      </c>
    </row>
    <row r="6" spans="1:30" x14ac:dyDescent="0.3">
      <c r="A6">
        <v>6</v>
      </c>
      <c r="B6" s="7" t="s">
        <v>14</v>
      </c>
    </row>
    <row r="7" spans="1:30" x14ac:dyDescent="0.3">
      <c r="A7">
        <v>7</v>
      </c>
      <c r="B7" s="4" t="s">
        <v>16</v>
      </c>
    </row>
    <row r="8" spans="1:30" x14ac:dyDescent="0.3">
      <c r="A8">
        <v>8</v>
      </c>
      <c r="B8" s="7" t="s">
        <v>18</v>
      </c>
    </row>
    <row r="9" spans="1:30" x14ac:dyDescent="0.3">
      <c r="A9">
        <v>9</v>
      </c>
      <c r="B9" s="4" t="s">
        <v>20</v>
      </c>
    </row>
    <row r="10" spans="1:30" x14ac:dyDescent="0.3">
      <c r="A10">
        <v>10</v>
      </c>
      <c r="B10" s="7" t="s">
        <v>22</v>
      </c>
    </row>
    <row r="11" spans="1:30" x14ac:dyDescent="0.3">
      <c r="A11">
        <v>11</v>
      </c>
      <c r="B11" s="4" t="s">
        <v>24</v>
      </c>
    </row>
    <row r="12" spans="1:30" x14ac:dyDescent="0.3">
      <c r="A12">
        <v>12</v>
      </c>
      <c r="B12" s="7" t="s">
        <v>26</v>
      </c>
    </row>
    <row r="13" spans="1:30" ht="15" thickBot="1" x14ac:dyDescent="0.35">
      <c r="A13">
        <v>13</v>
      </c>
      <c r="B13" s="20" t="s">
        <v>28</v>
      </c>
    </row>
    <row r="15" spans="1:30" x14ac:dyDescent="0.3">
      <c r="C15" s="1">
        <v>1</v>
      </c>
      <c r="D15" s="1"/>
      <c r="E15" s="1">
        <v>2</v>
      </c>
      <c r="F15" s="1"/>
      <c r="G15" s="1">
        <v>3</v>
      </c>
      <c r="H15" s="1"/>
      <c r="I15" s="1">
        <v>4</v>
      </c>
      <c r="J15" s="1"/>
      <c r="K15" s="1">
        <v>5</v>
      </c>
      <c r="L15" s="1"/>
      <c r="M15" s="1">
        <v>6</v>
      </c>
      <c r="N15" s="1"/>
      <c r="O15" s="1">
        <v>7</v>
      </c>
      <c r="P15" s="1"/>
      <c r="Q15" s="1">
        <v>8</v>
      </c>
      <c r="R15" s="1"/>
      <c r="S15" s="1">
        <v>9</v>
      </c>
      <c r="T15" s="1"/>
      <c r="U15" s="1">
        <v>10</v>
      </c>
      <c r="V15" s="1"/>
      <c r="W15" s="1">
        <v>11</v>
      </c>
      <c r="X15" s="1"/>
      <c r="Y15" s="1">
        <v>12</v>
      </c>
      <c r="Z15" s="1"/>
      <c r="AA15" s="1">
        <v>13</v>
      </c>
      <c r="AB15" s="1"/>
      <c r="AC15" s="1"/>
      <c r="AD15" s="1"/>
    </row>
    <row r="16" spans="1:30" x14ac:dyDescent="0.3">
      <c r="A16" s="23" t="s">
        <v>0</v>
      </c>
      <c r="B16" s="1">
        <v>1</v>
      </c>
      <c r="C16" s="2">
        <v>5.5</v>
      </c>
      <c r="D16" s="2">
        <v>7</v>
      </c>
      <c r="E16" s="2">
        <v>5.5</v>
      </c>
      <c r="F16" s="2">
        <v>3.4</v>
      </c>
      <c r="G16" s="2">
        <v>5.5</v>
      </c>
      <c r="H16" s="2">
        <v>8</v>
      </c>
      <c r="I16" s="2">
        <v>10</v>
      </c>
      <c r="J16" s="2">
        <f>D16*1.5</f>
        <v>10.5</v>
      </c>
      <c r="K16" s="2">
        <v>10</v>
      </c>
      <c r="L16" s="2">
        <f>F16*1.5</f>
        <v>5.0999999999999996</v>
      </c>
      <c r="M16" s="2">
        <v>10</v>
      </c>
      <c r="N16" s="2">
        <f>H16*1.5</f>
        <v>12</v>
      </c>
      <c r="O16" s="2">
        <v>1.5</v>
      </c>
      <c r="P16" s="2">
        <f>D16/3</f>
        <v>2.3333333333333335</v>
      </c>
      <c r="Q16" s="2">
        <v>1.5</v>
      </c>
      <c r="R16" s="2">
        <f>F16/3</f>
        <v>1.1333333333333333</v>
      </c>
      <c r="S16" s="2">
        <v>1.5</v>
      </c>
      <c r="T16" s="2">
        <f>H16/3.5</f>
        <v>2.2857142857142856</v>
      </c>
      <c r="U16" s="2">
        <v>15</v>
      </c>
      <c r="V16" s="2">
        <f>M16</f>
        <v>10</v>
      </c>
      <c r="W16" s="2">
        <v>15</v>
      </c>
      <c r="X16" s="2">
        <f>V16*1.5</f>
        <v>15</v>
      </c>
      <c r="Y16" s="2">
        <v>15</v>
      </c>
      <c r="Z16" s="2">
        <f>V16*0.9</f>
        <v>9</v>
      </c>
      <c r="AA16" s="2">
        <v>95</v>
      </c>
      <c r="AB16" s="2">
        <f>Y16*3</f>
        <v>45</v>
      </c>
      <c r="AC16" s="2"/>
      <c r="AD16" s="2"/>
    </row>
    <row r="17" spans="1:30" x14ac:dyDescent="0.3">
      <c r="A17" s="23"/>
      <c r="B17" s="1">
        <v>2</v>
      </c>
      <c r="C17" s="2">
        <v>5</v>
      </c>
      <c r="D17" s="2">
        <v>6.5</v>
      </c>
      <c r="E17" s="2">
        <v>5</v>
      </c>
      <c r="F17" s="2">
        <v>4.7</v>
      </c>
      <c r="G17" s="2">
        <v>5</v>
      </c>
      <c r="H17" s="2">
        <v>5</v>
      </c>
      <c r="I17" s="2">
        <v>20</v>
      </c>
      <c r="J17" s="2">
        <f t="shared" ref="J17:J25" si="0">D17*1.5</f>
        <v>9.75</v>
      </c>
      <c r="K17" s="2">
        <v>20</v>
      </c>
      <c r="L17" s="2">
        <f t="shared" ref="L17:L25" si="1">D17*1.5</f>
        <v>9.75</v>
      </c>
      <c r="M17" s="2">
        <v>20</v>
      </c>
      <c r="N17" s="2">
        <f t="shared" ref="N17:N25" si="2">H17*1.5</f>
        <v>7.5</v>
      </c>
      <c r="O17" s="2">
        <v>1.9</v>
      </c>
      <c r="P17" s="2">
        <f t="shared" ref="P17:P25" si="3">D17/3</f>
        <v>2.1666666666666665</v>
      </c>
      <c r="Q17" s="2">
        <v>1.9</v>
      </c>
      <c r="R17" s="2">
        <f t="shared" ref="R17:R25" si="4">F17/3</f>
        <v>1.5666666666666667</v>
      </c>
      <c r="S17" s="2">
        <v>1.9</v>
      </c>
      <c r="T17" s="2">
        <f t="shared" ref="T17:T25" si="5">H17/3.5</f>
        <v>1.4285714285714286</v>
      </c>
      <c r="U17" s="2">
        <v>38</v>
      </c>
      <c r="V17" s="2">
        <f t="shared" ref="V17:V25" si="6">M17</f>
        <v>20</v>
      </c>
      <c r="W17" s="2">
        <v>38</v>
      </c>
      <c r="X17" s="2">
        <f t="shared" ref="X17:X25" si="7">V17*1.5</f>
        <v>30</v>
      </c>
      <c r="Y17" s="2">
        <v>38</v>
      </c>
      <c r="Z17" s="2">
        <f t="shared" ref="Z17:Z25" si="8">V17*0.9</f>
        <v>18</v>
      </c>
      <c r="AA17" s="2">
        <v>105</v>
      </c>
      <c r="AB17" s="2">
        <f t="shared" ref="AB17:AB25" si="9">Y17*3</f>
        <v>114</v>
      </c>
      <c r="AC17" s="2"/>
      <c r="AD17" s="2"/>
    </row>
    <row r="18" spans="1:30" x14ac:dyDescent="0.3">
      <c r="A18" s="23"/>
      <c r="B18" s="1">
        <v>3</v>
      </c>
      <c r="C18" s="2">
        <v>6</v>
      </c>
      <c r="D18" s="2">
        <v>5</v>
      </c>
      <c r="E18" s="2">
        <v>6</v>
      </c>
      <c r="F18" s="2">
        <v>5</v>
      </c>
      <c r="G18" s="2">
        <v>6</v>
      </c>
      <c r="H18" s="2">
        <v>6</v>
      </c>
      <c r="I18" s="2">
        <v>13</v>
      </c>
      <c r="J18" s="2">
        <f t="shared" si="0"/>
        <v>7.5</v>
      </c>
      <c r="K18" s="2">
        <v>13</v>
      </c>
      <c r="L18" s="2">
        <f t="shared" si="1"/>
        <v>7.5</v>
      </c>
      <c r="M18" s="2">
        <v>13</v>
      </c>
      <c r="N18" s="2">
        <f t="shared" si="2"/>
        <v>9</v>
      </c>
      <c r="O18" s="2">
        <v>1.2</v>
      </c>
      <c r="P18" s="2">
        <f t="shared" si="3"/>
        <v>1.6666666666666667</v>
      </c>
      <c r="Q18" s="2">
        <v>1.2</v>
      </c>
      <c r="R18" s="2">
        <f t="shared" si="4"/>
        <v>1.6666666666666667</v>
      </c>
      <c r="S18" s="2">
        <v>1.2</v>
      </c>
      <c r="T18" s="2">
        <f t="shared" si="5"/>
        <v>1.7142857142857142</v>
      </c>
      <c r="U18" s="2">
        <v>22</v>
      </c>
      <c r="V18" s="2">
        <f t="shared" si="6"/>
        <v>13</v>
      </c>
      <c r="W18" s="2">
        <v>22</v>
      </c>
      <c r="X18" s="2">
        <f t="shared" si="7"/>
        <v>19.5</v>
      </c>
      <c r="Y18" s="2">
        <v>22</v>
      </c>
      <c r="Z18" s="2">
        <f t="shared" si="8"/>
        <v>11.700000000000001</v>
      </c>
      <c r="AA18" s="2">
        <v>70</v>
      </c>
      <c r="AB18" s="2">
        <f t="shared" si="9"/>
        <v>66</v>
      </c>
      <c r="AC18" s="2"/>
      <c r="AD18" s="2"/>
    </row>
    <row r="19" spans="1:30" x14ac:dyDescent="0.3">
      <c r="A19" s="23"/>
      <c r="B19" s="1">
        <v>4</v>
      </c>
      <c r="C19" s="2">
        <v>5.5</v>
      </c>
      <c r="D19" s="2">
        <v>5.5</v>
      </c>
      <c r="E19" s="2">
        <v>5.5</v>
      </c>
      <c r="F19" s="2">
        <v>4</v>
      </c>
      <c r="G19" s="2">
        <v>5.5</v>
      </c>
      <c r="H19" s="2">
        <v>7.5</v>
      </c>
      <c r="I19" s="2">
        <v>15</v>
      </c>
      <c r="J19" s="2">
        <f t="shared" si="0"/>
        <v>8.25</v>
      </c>
      <c r="K19" s="2">
        <v>15</v>
      </c>
      <c r="L19" s="2">
        <f t="shared" si="1"/>
        <v>8.25</v>
      </c>
      <c r="M19" s="2">
        <v>15</v>
      </c>
      <c r="N19" s="2">
        <f t="shared" si="2"/>
        <v>11.25</v>
      </c>
      <c r="O19" s="2">
        <v>1.4</v>
      </c>
      <c r="P19" s="2">
        <f t="shared" si="3"/>
        <v>1.8333333333333333</v>
      </c>
      <c r="Q19" s="2">
        <v>1.4</v>
      </c>
      <c r="R19" s="2">
        <f t="shared" si="4"/>
        <v>1.3333333333333333</v>
      </c>
      <c r="S19" s="2">
        <v>1.4</v>
      </c>
      <c r="T19" s="2">
        <f t="shared" si="5"/>
        <v>2.1428571428571428</v>
      </c>
      <c r="U19" s="2">
        <v>9</v>
      </c>
      <c r="V19" s="2">
        <f t="shared" si="6"/>
        <v>15</v>
      </c>
      <c r="W19" s="2">
        <v>9</v>
      </c>
      <c r="X19" s="2">
        <f t="shared" si="7"/>
        <v>22.5</v>
      </c>
      <c r="Y19" s="2">
        <v>9</v>
      </c>
      <c r="Z19" s="2">
        <f t="shared" si="8"/>
        <v>13.5</v>
      </c>
      <c r="AA19" s="2">
        <v>83</v>
      </c>
      <c r="AB19" s="2">
        <f t="shared" si="9"/>
        <v>27</v>
      </c>
      <c r="AC19" s="2"/>
      <c r="AD19" s="2"/>
    </row>
    <row r="20" spans="1:30" x14ac:dyDescent="0.3">
      <c r="A20" s="23"/>
      <c r="B20" s="1">
        <v>5</v>
      </c>
      <c r="C20" s="2">
        <v>4.5</v>
      </c>
      <c r="D20" s="2">
        <v>6</v>
      </c>
      <c r="E20" s="2">
        <v>4.5</v>
      </c>
      <c r="F20" s="2">
        <v>4.5</v>
      </c>
      <c r="G20" s="2">
        <v>4.5</v>
      </c>
      <c r="H20" s="2">
        <v>7</v>
      </c>
      <c r="I20" s="2">
        <v>17</v>
      </c>
      <c r="J20" s="2">
        <f t="shared" si="0"/>
        <v>9</v>
      </c>
      <c r="K20" s="2">
        <v>17</v>
      </c>
      <c r="L20" s="2">
        <f t="shared" si="1"/>
        <v>9</v>
      </c>
      <c r="M20" s="2">
        <v>17</v>
      </c>
      <c r="N20" s="2">
        <f t="shared" si="2"/>
        <v>10.5</v>
      </c>
      <c r="O20" s="2">
        <v>1.5</v>
      </c>
      <c r="P20" s="2">
        <f t="shared" si="3"/>
        <v>2</v>
      </c>
      <c r="Q20" s="2">
        <v>1.5</v>
      </c>
      <c r="R20" s="2">
        <f t="shared" si="4"/>
        <v>1.5</v>
      </c>
      <c r="S20" s="2">
        <v>1.5</v>
      </c>
      <c r="T20" s="2">
        <f t="shared" si="5"/>
        <v>2</v>
      </c>
      <c r="U20" s="2">
        <v>20</v>
      </c>
      <c r="V20" s="2">
        <f t="shared" si="6"/>
        <v>17</v>
      </c>
      <c r="W20" s="2">
        <v>20</v>
      </c>
      <c r="X20" s="2">
        <f t="shared" si="7"/>
        <v>25.5</v>
      </c>
      <c r="Y20" s="2">
        <v>20</v>
      </c>
      <c r="Z20" s="2">
        <f t="shared" si="8"/>
        <v>15.3</v>
      </c>
      <c r="AA20" s="2">
        <v>87</v>
      </c>
      <c r="AB20" s="2">
        <f t="shared" si="9"/>
        <v>60</v>
      </c>
      <c r="AC20" s="2"/>
      <c r="AD20" s="2"/>
    </row>
    <row r="21" spans="1:30" x14ac:dyDescent="0.3">
      <c r="A21" s="23"/>
      <c r="B21" s="1">
        <v>6</v>
      </c>
      <c r="C21" s="2">
        <v>5.0999999999999996</v>
      </c>
      <c r="D21" s="2">
        <v>6.8</v>
      </c>
      <c r="E21" s="2">
        <v>5.0999999999999996</v>
      </c>
      <c r="F21" s="2">
        <v>3.7</v>
      </c>
      <c r="G21" s="2">
        <v>5.0999999999999996</v>
      </c>
      <c r="H21" s="2">
        <v>7.8</v>
      </c>
      <c r="I21" s="2">
        <v>18</v>
      </c>
      <c r="J21" s="2">
        <f t="shared" si="0"/>
        <v>10.199999999999999</v>
      </c>
      <c r="K21" s="2">
        <v>18</v>
      </c>
      <c r="L21" s="2">
        <f t="shared" si="1"/>
        <v>10.199999999999999</v>
      </c>
      <c r="M21" s="2">
        <v>18</v>
      </c>
      <c r="N21" s="2">
        <f t="shared" si="2"/>
        <v>11.7</v>
      </c>
      <c r="O21" s="2">
        <v>1.3</v>
      </c>
      <c r="P21" s="2">
        <f t="shared" si="3"/>
        <v>2.2666666666666666</v>
      </c>
      <c r="Q21" s="2">
        <v>1.3</v>
      </c>
      <c r="R21" s="2">
        <f t="shared" si="4"/>
        <v>1.2333333333333334</v>
      </c>
      <c r="S21" s="2">
        <v>1.3</v>
      </c>
      <c r="T21" s="2">
        <f t="shared" si="5"/>
        <v>2.2285714285714286</v>
      </c>
      <c r="U21" s="2">
        <v>16</v>
      </c>
      <c r="V21" s="2">
        <f t="shared" si="6"/>
        <v>18</v>
      </c>
      <c r="W21" s="2">
        <v>16</v>
      </c>
      <c r="X21" s="2">
        <f t="shared" si="7"/>
        <v>27</v>
      </c>
      <c r="Y21" s="2">
        <v>16</v>
      </c>
      <c r="Z21" s="2">
        <f t="shared" si="8"/>
        <v>16.2</v>
      </c>
      <c r="AA21" s="2">
        <v>91</v>
      </c>
      <c r="AB21" s="2">
        <f t="shared" si="9"/>
        <v>48</v>
      </c>
      <c r="AC21" s="2"/>
      <c r="AD21" s="2"/>
    </row>
    <row r="22" spans="1:30" x14ac:dyDescent="0.3">
      <c r="A22" s="23"/>
      <c r="B22" s="1">
        <v>7</v>
      </c>
      <c r="C22" s="2">
        <v>5.2</v>
      </c>
      <c r="D22" s="2">
        <v>5.3</v>
      </c>
      <c r="E22" s="2">
        <v>5.2</v>
      </c>
      <c r="F22" s="2">
        <v>4.9000000000000004</v>
      </c>
      <c r="G22" s="2">
        <v>5.2</v>
      </c>
      <c r="H22" s="2">
        <v>6.5</v>
      </c>
      <c r="I22" s="2">
        <v>12</v>
      </c>
      <c r="J22" s="2">
        <f t="shared" si="0"/>
        <v>7.9499999999999993</v>
      </c>
      <c r="K22" s="2">
        <v>12</v>
      </c>
      <c r="L22" s="2">
        <f t="shared" si="1"/>
        <v>7.9499999999999993</v>
      </c>
      <c r="M22" s="2">
        <v>12</v>
      </c>
      <c r="N22" s="2">
        <f t="shared" si="2"/>
        <v>9.75</v>
      </c>
      <c r="O22" s="2">
        <v>1.6</v>
      </c>
      <c r="P22" s="2">
        <f t="shared" si="3"/>
        <v>1.7666666666666666</v>
      </c>
      <c r="Q22" s="2">
        <v>1.6</v>
      </c>
      <c r="R22" s="2">
        <f t="shared" si="4"/>
        <v>1.6333333333333335</v>
      </c>
      <c r="S22" s="2">
        <v>1.6</v>
      </c>
      <c r="T22" s="2">
        <f t="shared" si="5"/>
        <v>1.8571428571428572</v>
      </c>
      <c r="U22" s="2">
        <v>11</v>
      </c>
      <c r="V22" s="2">
        <f t="shared" si="6"/>
        <v>12</v>
      </c>
      <c r="W22" s="2">
        <v>11</v>
      </c>
      <c r="X22" s="2">
        <f t="shared" si="7"/>
        <v>18</v>
      </c>
      <c r="Y22" s="2">
        <v>11</v>
      </c>
      <c r="Z22" s="2">
        <f t="shared" si="8"/>
        <v>10.8</v>
      </c>
      <c r="AA22" s="2">
        <v>88</v>
      </c>
      <c r="AB22" s="2">
        <f t="shared" si="9"/>
        <v>33</v>
      </c>
      <c r="AC22" s="2"/>
      <c r="AD22" s="2"/>
    </row>
    <row r="23" spans="1:30" x14ac:dyDescent="0.3">
      <c r="A23" s="23"/>
      <c r="B23" s="1">
        <v>8</v>
      </c>
      <c r="C23" s="2">
        <v>4.8</v>
      </c>
      <c r="D23" s="2">
        <v>6.4</v>
      </c>
      <c r="E23" s="2">
        <v>4.8</v>
      </c>
      <c r="F23" s="2">
        <v>4.3</v>
      </c>
      <c r="G23" s="2">
        <v>4.8</v>
      </c>
      <c r="H23" s="2">
        <v>5.5</v>
      </c>
      <c r="I23" s="2">
        <v>19</v>
      </c>
      <c r="J23" s="2">
        <f t="shared" si="0"/>
        <v>9.6000000000000014</v>
      </c>
      <c r="K23" s="2">
        <v>19</v>
      </c>
      <c r="L23" s="2">
        <f t="shared" si="1"/>
        <v>9.6000000000000014</v>
      </c>
      <c r="M23" s="2">
        <v>19</v>
      </c>
      <c r="N23" s="2">
        <f t="shared" si="2"/>
        <v>8.25</v>
      </c>
      <c r="O23" s="2">
        <v>1.2</v>
      </c>
      <c r="P23" s="2">
        <f t="shared" si="3"/>
        <v>2.1333333333333333</v>
      </c>
      <c r="Q23" s="2">
        <v>1.2</v>
      </c>
      <c r="R23" s="2">
        <f t="shared" si="4"/>
        <v>1.4333333333333333</v>
      </c>
      <c r="S23" s="2">
        <v>1.2</v>
      </c>
      <c r="T23" s="2">
        <f t="shared" si="5"/>
        <v>1.5714285714285714</v>
      </c>
      <c r="U23" s="2">
        <v>10</v>
      </c>
      <c r="V23" s="2">
        <f t="shared" si="6"/>
        <v>19</v>
      </c>
      <c r="W23" s="2">
        <v>10</v>
      </c>
      <c r="X23" s="2">
        <f t="shared" si="7"/>
        <v>28.5</v>
      </c>
      <c r="Y23" s="2">
        <v>10</v>
      </c>
      <c r="Z23" s="2">
        <f t="shared" si="8"/>
        <v>17.100000000000001</v>
      </c>
      <c r="AA23" s="2">
        <v>94</v>
      </c>
      <c r="AB23" s="2">
        <f t="shared" si="9"/>
        <v>30</v>
      </c>
      <c r="AC23" s="2"/>
      <c r="AD23" s="2"/>
    </row>
    <row r="24" spans="1:30" x14ac:dyDescent="0.3">
      <c r="A24" s="23"/>
      <c r="B24" s="1">
        <v>9</v>
      </c>
      <c r="C24" s="2">
        <v>6</v>
      </c>
      <c r="D24" s="2">
        <v>7</v>
      </c>
      <c r="E24" s="2">
        <v>6</v>
      </c>
      <c r="F24" s="2">
        <v>3.9</v>
      </c>
      <c r="G24" s="2">
        <v>6</v>
      </c>
      <c r="H24" s="2">
        <v>6.3</v>
      </c>
      <c r="I24" s="2">
        <v>18</v>
      </c>
      <c r="J24" s="2">
        <f t="shared" si="0"/>
        <v>10.5</v>
      </c>
      <c r="K24" s="2">
        <v>18</v>
      </c>
      <c r="L24" s="2">
        <f t="shared" si="1"/>
        <v>10.5</v>
      </c>
      <c r="M24" s="2">
        <v>18</v>
      </c>
      <c r="N24" s="2">
        <f t="shared" si="2"/>
        <v>9.4499999999999993</v>
      </c>
      <c r="O24" s="2">
        <v>1.3</v>
      </c>
      <c r="P24" s="2">
        <f t="shared" si="3"/>
        <v>2.3333333333333335</v>
      </c>
      <c r="Q24" s="2">
        <v>1.3</v>
      </c>
      <c r="R24" s="2">
        <f t="shared" si="4"/>
        <v>1.3</v>
      </c>
      <c r="S24" s="2">
        <v>1.3</v>
      </c>
      <c r="T24" s="2">
        <f t="shared" si="5"/>
        <v>1.8</v>
      </c>
      <c r="U24" s="2">
        <v>19</v>
      </c>
      <c r="V24" s="2">
        <f t="shared" si="6"/>
        <v>18</v>
      </c>
      <c r="W24" s="2">
        <v>19</v>
      </c>
      <c r="X24" s="2">
        <f t="shared" si="7"/>
        <v>27</v>
      </c>
      <c r="Y24" s="2">
        <v>19</v>
      </c>
      <c r="Z24" s="2">
        <f t="shared" si="8"/>
        <v>16.2</v>
      </c>
      <c r="AA24" s="2">
        <v>100</v>
      </c>
      <c r="AB24" s="2">
        <f t="shared" si="9"/>
        <v>57</v>
      </c>
      <c r="AC24" s="2"/>
      <c r="AD24" s="2"/>
    </row>
    <row r="25" spans="1:30" x14ac:dyDescent="0.3">
      <c r="A25" s="23"/>
      <c r="B25" s="1">
        <v>10</v>
      </c>
      <c r="C25" s="2">
        <v>5.5</v>
      </c>
      <c r="D25" s="2">
        <v>6.7</v>
      </c>
      <c r="E25" s="2">
        <v>5.5</v>
      </c>
      <c r="F25" s="2">
        <v>4.0999999999999996</v>
      </c>
      <c r="G25" s="2">
        <v>5.5</v>
      </c>
      <c r="H25" s="2">
        <v>6.8</v>
      </c>
      <c r="I25" s="2">
        <v>17</v>
      </c>
      <c r="J25" s="2">
        <f t="shared" si="0"/>
        <v>10.050000000000001</v>
      </c>
      <c r="K25" s="2">
        <v>17</v>
      </c>
      <c r="L25" s="2">
        <f t="shared" si="1"/>
        <v>10.050000000000001</v>
      </c>
      <c r="M25" s="2">
        <v>17</v>
      </c>
      <c r="N25" s="2">
        <f t="shared" si="2"/>
        <v>10.199999999999999</v>
      </c>
      <c r="O25" s="2">
        <v>1.5</v>
      </c>
      <c r="P25" s="2">
        <f t="shared" si="3"/>
        <v>2.2333333333333334</v>
      </c>
      <c r="Q25" s="2">
        <v>1.5</v>
      </c>
      <c r="R25" s="2">
        <f t="shared" si="4"/>
        <v>1.3666666666666665</v>
      </c>
      <c r="S25" s="2">
        <v>1.5</v>
      </c>
      <c r="T25" s="2">
        <f t="shared" si="5"/>
        <v>1.9428571428571428</v>
      </c>
      <c r="U25" s="2">
        <v>24</v>
      </c>
      <c r="V25" s="2">
        <f t="shared" si="6"/>
        <v>17</v>
      </c>
      <c r="W25" s="2">
        <v>24</v>
      </c>
      <c r="X25" s="2">
        <f t="shared" si="7"/>
        <v>25.5</v>
      </c>
      <c r="Y25" s="2">
        <v>24</v>
      </c>
      <c r="Z25" s="2">
        <f t="shared" si="8"/>
        <v>15.3</v>
      </c>
      <c r="AA25" s="2">
        <v>99</v>
      </c>
      <c r="AB25" s="2">
        <f t="shared" si="9"/>
        <v>72</v>
      </c>
      <c r="AC25" s="2"/>
      <c r="AD25" s="2"/>
    </row>
  </sheetData>
  <mergeCells count="1">
    <mergeCell ref="A16:A2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H13"/>
  <sheetViews>
    <sheetView workbookViewId="0">
      <selection activeCell="C1" sqref="C1:C13"/>
    </sheetView>
  </sheetViews>
  <sheetFormatPr defaultRowHeight="14.4" x14ac:dyDescent="0.3"/>
  <sheetData>
    <row r="1" spans="1:8" x14ac:dyDescent="0.3">
      <c r="A1" s="9">
        <v>1</v>
      </c>
      <c r="B1" s="10" t="s">
        <v>1</v>
      </c>
      <c r="C1" s="11" t="s">
        <v>2</v>
      </c>
      <c r="D1" s="12" t="s">
        <v>3</v>
      </c>
      <c r="E1" s="12"/>
      <c r="F1" s="12"/>
      <c r="G1" s="12"/>
      <c r="H1" s="13" t="s">
        <v>4</v>
      </c>
    </row>
    <row r="2" spans="1:8" x14ac:dyDescent="0.3">
      <c r="A2" s="14">
        <v>2</v>
      </c>
      <c r="B2" s="6" t="s">
        <v>5</v>
      </c>
      <c r="C2" s="7" t="s">
        <v>6</v>
      </c>
      <c r="D2" s="8" t="s">
        <v>3</v>
      </c>
      <c r="E2" s="8"/>
      <c r="F2" s="8"/>
      <c r="G2" s="8"/>
      <c r="H2" s="15" t="s">
        <v>4</v>
      </c>
    </row>
    <row r="3" spans="1:8" x14ac:dyDescent="0.3">
      <c r="A3" s="16">
        <v>3</v>
      </c>
      <c r="B3" s="3" t="s">
        <v>7</v>
      </c>
      <c r="C3" s="4" t="s">
        <v>8</v>
      </c>
      <c r="D3" s="5" t="s">
        <v>3</v>
      </c>
      <c r="E3" s="5"/>
      <c r="F3" s="5"/>
      <c r="G3" s="5"/>
      <c r="H3" s="17" t="s">
        <v>4</v>
      </c>
    </row>
    <row r="4" spans="1:8" x14ac:dyDescent="0.3">
      <c r="A4" s="14">
        <v>4</v>
      </c>
      <c r="B4" s="6" t="s">
        <v>9</v>
      </c>
      <c r="C4" s="7" t="s">
        <v>10</v>
      </c>
      <c r="D4" s="8" t="s">
        <v>3</v>
      </c>
      <c r="E4" s="8"/>
      <c r="F4" s="8"/>
      <c r="G4" s="8"/>
      <c r="H4" s="15" t="s">
        <v>4</v>
      </c>
    </row>
    <row r="5" spans="1:8" x14ac:dyDescent="0.3">
      <c r="A5" s="16">
        <v>5</v>
      </c>
      <c r="B5" s="3" t="s">
        <v>11</v>
      </c>
      <c r="C5" s="4" t="s">
        <v>12</v>
      </c>
      <c r="D5" s="5" t="s">
        <v>3</v>
      </c>
      <c r="E5" s="5"/>
      <c r="F5" s="5"/>
      <c r="G5" s="5"/>
      <c r="H5" s="17" t="s">
        <v>4</v>
      </c>
    </row>
    <row r="6" spans="1:8" x14ac:dyDescent="0.3">
      <c r="A6" s="14">
        <v>6</v>
      </c>
      <c r="B6" s="6" t="s">
        <v>13</v>
      </c>
      <c r="C6" s="7" t="s">
        <v>14</v>
      </c>
      <c r="D6" s="8" t="s">
        <v>3</v>
      </c>
      <c r="E6" s="8"/>
      <c r="F6" s="8"/>
      <c r="G6" s="8"/>
      <c r="H6" s="15" t="s">
        <v>4</v>
      </c>
    </row>
    <row r="7" spans="1:8" x14ac:dyDescent="0.3">
      <c r="A7" s="16">
        <v>7</v>
      </c>
      <c r="B7" s="3" t="s">
        <v>15</v>
      </c>
      <c r="C7" s="4" t="s">
        <v>16</v>
      </c>
      <c r="D7" s="5" t="s">
        <v>3</v>
      </c>
      <c r="E7" s="5"/>
      <c r="F7" s="5"/>
      <c r="G7" s="5"/>
      <c r="H7" s="17" t="s">
        <v>4</v>
      </c>
    </row>
    <row r="8" spans="1:8" x14ac:dyDescent="0.3">
      <c r="A8" s="14">
        <v>8</v>
      </c>
      <c r="B8" s="6" t="s">
        <v>17</v>
      </c>
      <c r="C8" s="7" t="s">
        <v>18</v>
      </c>
      <c r="D8" s="8" t="s">
        <v>3</v>
      </c>
      <c r="E8" s="8"/>
      <c r="F8" s="8"/>
      <c r="G8" s="8"/>
      <c r="H8" s="15" t="s">
        <v>4</v>
      </c>
    </row>
    <row r="9" spans="1:8" x14ac:dyDescent="0.3">
      <c r="A9" s="16">
        <v>9</v>
      </c>
      <c r="B9" s="3" t="s">
        <v>19</v>
      </c>
      <c r="C9" s="4" t="s">
        <v>20</v>
      </c>
      <c r="D9" s="5" t="s">
        <v>3</v>
      </c>
      <c r="E9" s="5"/>
      <c r="F9" s="5"/>
      <c r="G9" s="5"/>
      <c r="H9" s="17" t="s">
        <v>4</v>
      </c>
    </row>
    <row r="10" spans="1:8" x14ac:dyDescent="0.3">
      <c r="A10" s="14">
        <v>10</v>
      </c>
      <c r="B10" s="6" t="s">
        <v>21</v>
      </c>
      <c r="C10" s="7" t="s">
        <v>22</v>
      </c>
      <c r="D10" s="8" t="s">
        <v>3</v>
      </c>
      <c r="E10" s="8"/>
      <c r="F10" s="8"/>
      <c r="G10" s="8"/>
      <c r="H10" s="15" t="s">
        <v>4</v>
      </c>
    </row>
    <row r="11" spans="1:8" x14ac:dyDescent="0.3">
      <c r="A11" s="16">
        <v>11</v>
      </c>
      <c r="B11" s="3" t="s">
        <v>23</v>
      </c>
      <c r="C11" s="4" t="s">
        <v>24</v>
      </c>
      <c r="D11" s="5" t="s">
        <v>3</v>
      </c>
      <c r="E11" s="5"/>
      <c r="F11" s="5"/>
      <c r="G11" s="5"/>
      <c r="H11" s="17" t="s">
        <v>4</v>
      </c>
    </row>
    <row r="12" spans="1:8" x14ac:dyDescent="0.3">
      <c r="A12" s="14">
        <v>12</v>
      </c>
      <c r="B12" s="6" t="s">
        <v>25</v>
      </c>
      <c r="C12" s="7" t="s">
        <v>26</v>
      </c>
      <c r="D12" s="8" t="s">
        <v>3</v>
      </c>
      <c r="E12" s="8"/>
      <c r="F12" s="8"/>
      <c r="G12" s="8"/>
      <c r="H12" s="15" t="s">
        <v>4</v>
      </c>
    </row>
    <row r="13" spans="1:8" ht="15" thickBot="1" x14ac:dyDescent="0.35">
      <c r="A13" s="18">
        <v>13</v>
      </c>
      <c r="B13" s="19" t="s">
        <v>27</v>
      </c>
      <c r="C13" s="20" t="s">
        <v>28</v>
      </c>
      <c r="D13" s="21" t="s">
        <v>3</v>
      </c>
      <c r="E13" s="21"/>
      <c r="F13" s="21"/>
      <c r="G13" s="21"/>
      <c r="H13" s="22" t="s">
        <v>4</v>
      </c>
    </row>
  </sheetData>
  <hyperlinks>
    <hyperlink ref="H1" r:id="rId1" display="javascript:void(0)" xr:uid="{00000000-0004-0000-0100-000000000000}"/>
    <hyperlink ref="H2" r:id="rId2" display="javascript:void(0)" xr:uid="{00000000-0004-0000-0100-000001000000}"/>
    <hyperlink ref="H3" r:id="rId3" display="javascript:void(0)" xr:uid="{00000000-0004-0000-0100-000002000000}"/>
    <hyperlink ref="H4" r:id="rId4" display="javascript:void(0)" xr:uid="{00000000-0004-0000-0100-000003000000}"/>
    <hyperlink ref="H5" r:id="rId5" display="javascript:void(0)" xr:uid="{00000000-0004-0000-0100-000004000000}"/>
    <hyperlink ref="H6" r:id="rId6" display="javascript:void(0)" xr:uid="{00000000-0004-0000-0100-000005000000}"/>
    <hyperlink ref="H7" r:id="rId7" display="javascript:void(0)" xr:uid="{00000000-0004-0000-0100-000006000000}"/>
    <hyperlink ref="H8" r:id="rId8" display="javascript:void(0)" xr:uid="{00000000-0004-0000-0100-000007000000}"/>
    <hyperlink ref="H9" r:id="rId9" display="javascript:void(0)" xr:uid="{00000000-0004-0000-0100-000008000000}"/>
    <hyperlink ref="H10" r:id="rId10" display="javascript:void(0)" xr:uid="{00000000-0004-0000-0100-000009000000}"/>
    <hyperlink ref="H11" r:id="rId11" display="javascript:void(0)" xr:uid="{00000000-0004-0000-0100-00000A000000}"/>
    <hyperlink ref="H12" r:id="rId12" display="javascript:void(0)" xr:uid="{00000000-0004-0000-0100-00000B000000}"/>
    <hyperlink ref="H13" r:id="rId13" display="javascript:void(0)" xr:uid="{00000000-0004-0000-0100-00000C000000}"/>
  </hyperlinks>
  <pageMargins left="0.511811024" right="0.511811024" top="0.78740157499999996" bottom="0.78740157499999996" header="0.31496062000000002" footer="0.31496062000000002"/>
  <drawing r:id="rId14"/>
  <legacyDrawing r:id="rId15"/>
  <controls>
    <mc:AlternateContent xmlns:mc="http://schemas.openxmlformats.org/markup-compatibility/2006">
      <mc:Choice Requires="x14">
        <control shapeId="2100" r:id="rId16" name="Control 52">
          <controlPr defaultSize="0" r:id="rId17">
            <anchor moveWithCells="1">
              <from>
                <xdr:col>6</xdr:col>
                <xdr:colOff>0</xdr:colOff>
                <xdr:row>12</xdr:row>
                <xdr:rowOff>22860</xdr:rowOff>
              </from>
              <to>
                <xdr:col>6</xdr:col>
                <xdr:colOff>365760</xdr:colOff>
                <xdr:row>13</xdr:row>
                <xdr:rowOff>60960</xdr:rowOff>
              </to>
            </anchor>
          </controlPr>
        </control>
      </mc:Choice>
      <mc:Fallback>
        <control shapeId="2100" r:id="rId16" name="Control 52"/>
      </mc:Fallback>
    </mc:AlternateContent>
    <mc:AlternateContent xmlns:mc="http://schemas.openxmlformats.org/markup-compatibility/2006">
      <mc:Choice Requires="x14">
        <control shapeId="2098" r:id="rId18" name="Control 50">
          <controlPr defaultSize="0" r:id="rId19">
            <anchor moveWithCells="1">
              <from>
                <xdr:col>4</xdr:col>
                <xdr:colOff>0</xdr:colOff>
                <xdr:row>12</xdr:row>
                <xdr:rowOff>22860</xdr:rowOff>
              </from>
              <to>
                <xdr:col>4</xdr:col>
                <xdr:colOff>365760</xdr:colOff>
                <xdr:row>13</xdr:row>
                <xdr:rowOff>60960</xdr:rowOff>
              </to>
            </anchor>
          </controlPr>
        </control>
      </mc:Choice>
      <mc:Fallback>
        <control shapeId="2098" r:id="rId18" name="Control 50"/>
      </mc:Fallback>
    </mc:AlternateContent>
    <mc:AlternateContent xmlns:mc="http://schemas.openxmlformats.org/markup-compatibility/2006">
      <mc:Choice Requires="x14">
        <control shapeId="2097" r:id="rId20" name="Control 49">
          <controlPr defaultSize="0" r:id="rId21">
            <anchor moveWithCells="1">
              <from>
                <xdr:col>3</xdr:col>
                <xdr:colOff>0</xdr:colOff>
                <xdr:row>12</xdr:row>
                <xdr:rowOff>22860</xdr:rowOff>
              </from>
              <to>
                <xdr:col>4</xdr:col>
                <xdr:colOff>137160</xdr:colOff>
                <xdr:row>13</xdr:row>
                <xdr:rowOff>60960</xdr:rowOff>
              </to>
            </anchor>
          </controlPr>
        </control>
      </mc:Choice>
      <mc:Fallback>
        <control shapeId="2097" r:id="rId20" name="Control 49"/>
      </mc:Fallback>
    </mc:AlternateContent>
    <mc:AlternateContent xmlns:mc="http://schemas.openxmlformats.org/markup-compatibility/2006">
      <mc:Choice Requires="x14">
        <control shapeId="2096" r:id="rId22" name="Control 48">
          <controlPr defaultSize="0" r:id="rId23">
            <anchor moveWithCells="1">
              <from>
                <xdr:col>6</xdr:col>
                <xdr:colOff>0</xdr:colOff>
                <xdr:row>11</xdr:row>
                <xdr:rowOff>22860</xdr:rowOff>
              </from>
              <to>
                <xdr:col>6</xdr:col>
                <xdr:colOff>365760</xdr:colOff>
                <xdr:row>12</xdr:row>
                <xdr:rowOff>68580</xdr:rowOff>
              </to>
            </anchor>
          </controlPr>
        </control>
      </mc:Choice>
      <mc:Fallback>
        <control shapeId="2096" r:id="rId22" name="Control 48"/>
      </mc:Fallback>
    </mc:AlternateContent>
    <mc:AlternateContent xmlns:mc="http://schemas.openxmlformats.org/markup-compatibility/2006">
      <mc:Choice Requires="x14">
        <control shapeId="2094" r:id="rId24" name="Control 46">
          <controlPr defaultSize="0" r:id="rId19">
            <anchor moveWithCells="1">
              <from>
                <xdr:col>4</xdr:col>
                <xdr:colOff>0</xdr:colOff>
                <xdr:row>11</xdr:row>
                <xdr:rowOff>22860</xdr:rowOff>
              </from>
              <to>
                <xdr:col>4</xdr:col>
                <xdr:colOff>365760</xdr:colOff>
                <xdr:row>12</xdr:row>
                <xdr:rowOff>68580</xdr:rowOff>
              </to>
            </anchor>
          </controlPr>
        </control>
      </mc:Choice>
      <mc:Fallback>
        <control shapeId="2094" r:id="rId24" name="Control 46"/>
      </mc:Fallback>
    </mc:AlternateContent>
    <mc:AlternateContent xmlns:mc="http://schemas.openxmlformats.org/markup-compatibility/2006">
      <mc:Choice Requires="x14">
        <control shapeId="2093" r:id="rId25" name="Control 45">
          <controlPr defaultSize="0" r:id="rId21">
            <anchor moveWithCells="1">
              <from>
                <xdr:col>3</xdr:col>
                <xdr:colOff>0</xdr:colOff>
                <xdr:row>11</xdr:row>
                <xdr:rowOff>22860</xdr:rowOff>
              </from>
              <to>
                <xdr:col>4</xdr:col>
                <xdr:colOff>137160</xdr:colOff>
                <xdr:row>12</xdr:row>
                <xdr:rowOff>68580</xdr:rowOff>
              </to>
            </anchor>
          </controlPr>
        </control>
      </mc:Choice>
      <mc:Fallback>
        <control shapeId="2093" r:id="rId25" name="Control 45"/>
      </mc:Fallback>
    </mc:AlternateContent>
    <mc:AlternateContent xmlns:mc="http://schemas.openxmlformats.org/markup-compatibility/2006">
      <mc:Choice Requires="x14">
        <control shapeId="2092" r:id="rId26" name="Control 44">
          <controlPr defaultSize="0" r:id="rId27">
            <anchor moveWithCells="1">
              <from>
                <xdr:col>6</xdr:col>
                <xdr:colOff>0</xdr:colOff>
                <xdr:row>10</xdr:row>
                <xdr:rowOff>22860</xdr:rowOff>
              </from>
              <to>
                <xdr:col>6</xdr:col>
                <xdr:colOff>365760</xdr:colOff>
                <xdr:row>11</xdr:row>
                <xdr:rowOff>68580</xdr:rowOff>
              </to>
            </anchor>
          </controlPr>
        </control>
      </mc:Choice>
      <mc:Fallback>
        <control shapeId="2092" r:id="rId26" name="Control 44"/>
      </mc:Fallback>
    </mc:AlternateContent>
    <mc:AlternateContent xmlns:mc="http://schemas.openxmlformats.org/markup-compatibility/2006">
      <mc:Choice Requires="x14">
        <control shapeId="2090" r:id="rId28" name="Control 42">
          <controlPr defaultSize="0" r:id="rId19">
            <anchor moveWithCells="1">
              <from>
                <xdr:col>4</xdr:col>
                <xdr:colOff>0</xdr:colOff>
                <xdr:row>10</xdr:row>
                <xdr:rowOff>22860</xdr:rowOff>
              </from>
              <to>
                <xdr:col>4</xdr:col>
                <xdr:colOff>365760</xdr:colOff>
                <xdr:row>11</xdr:row>
                <xdr:rowOff>68580</xdr:rowOff>
              </to>
            </anchor>
          </controlPr>
        </control>
      </mc:Choice>
      <mc:Fallback>
        <control shapeId="2090" r:id="rId28" name="Control 42"/>
      </mc:Fallback>
    </mc:AlternateContent>
    <mc:AlternateContent xmlns:mc="http://schemas.openxmlformats.org/markup-compatibility/2006">
      <mc:Choice Requires="x14">
        <control shapeId="2089" r:id="rId29" name="Control 41">
          <controlPr defaultSize="0" r:id="rId21">
            <anchor moveWithCells="1">
              <from>
                <xdr:col>3</xdr:col>
                <xdr:colOff>0</xdr:colOff>
                <xdr:row>10</xdr:row>
                <xdr:rowOff>22860</xdr:rowOff>
              </from>
              <to>
                <xdr:col>4</xdr:col>
                <xdr:colOff>137160</xdr:colOff>
                <xdr:row>11</xdr:row>
                <xdr:rowOff>68580</xdr:rowOff>
              </to>
            </anchor>
          </controlPr>
        </control>
      </mc:Choice>
      <mc:Fallback>
        <control shapeId="2089" r:id="rId29" name="Control 41"/>
      </mc:Fallback>
    </mc:AlternateContent>
    <mc:AlternateContent xmlns:mc="http://schemas.openxmlformats.org/markup-compatibility/2006">
      <mc:Choice Requires="x14">
        <control shapeId="2088" r:id="rId30" name="Control 40">
          <controlPr defaultSize="0" r:id="rId31">
            <anchor moveWithCells="1">
              <from>
                <xdr:col>6</xdr:col>
                <xdr:colOff>0</xdr:colOff>
                <xdr:row>9</xdr:row>
                <xdr:rowOff>15240</xdr:rowOff>
              </from>
              <to>
                <xdr:col>6</xdr:col>
                <xdr:colOff>365760</xdr:colOff>
                <xdr:row>10</xdr:row>
                <xdr:rowOff>68580</xdr:rowOff>
              </to>
            </anchor>
          </controlPr>
        </control>
      </mc:Choice>
      <mc:Fallback>
        <control shapeId="2088" r:id="rId30" name="Control 40"/>
      </mc:Fallback>
    </mc:AlternateContent>
    <mc:AlternateContent xmlns:mc="http://schemas.openxmlformats.org/markup-compatibility/2006">
      <mc:Choice Requires="x14">
        <control shapeId="2086" r:id="rId32" name="Control 38">
          <controlPr defaultSize="0" r:id="rId19">
            <anchor moveWithCells="1">
              <from>
                <xdr:col>4</xdr:col>
                <xdr:colOff>0</xdr:colOff>
                <xdr:row>9</xdr:row>
                <xdr:rowOff>15240</xdr:rowOff>
              </from>
              <to>
                <xdr:col>4</xdr:col>
                <xdr:colOff>365760</xdr:colOff>
                <xdr:row>10</xdr:row>
                <xdr:rowOff>68580</xdr:rowOff>
              </to>
            </anchor>
          </controlPr>
        </control>
      </mc:Choice>
      <mc:Fallback>
        <control shapeId="2086" r:id="rId32" name="Control 38"/>
      </mc:Fallback>
    </mc:AlternateContent>
    <mc:AlternateContent xmlns:mc="http://schemas.openxmlformats.org/markup-compatibility/2006">
      <mc:Choice Requires="x14">
        <control shapeId="2085" r:id="rId33" name="Control 37">
          <controlPr defaultSize="0" r:id="rId21">
            <anchor moveWithCells="1">
              <from>
                <xdr:col>3</xdr:col>
                <xdr:colOff>0</xdr:colOff>
                <xdr:row>9</xdr:row>
                <xdr:rowOff>15240</xdr:rowOff>
              </from>
              <to>
                <xdr:col>4</xdr:col>
                <xdr:colOff>137160</xdr:colOff>
                <xdr:row>10</xdr:row>
                <xdr:rowOff>68580</xdr:rowOff>
              </to>
            </anchor>
          </controlPr>
        </control>
      </mc:Choice>
      <mc:Fallback>
        <control shapeId="2085" r:id="rId33" name="Control 37"/>
      </mc:Fallback>
    </mc:AlternateContent>
    <mc:AlternateContent xmlns:mc="http://schemas.openxmlformats.org/markup-compatibility/2006">
      <mc:Choice Requires="x14">
        <control shapeId="2084" r:id="rId34" name="Control 36">
          <controlPr defaultSize="0" r:id="rId35">
            <anchor moveWithCells="1">
              <from>
                <xdr:col>6</xdr:col>
                <xdr:colOff>0</xdr:colOff>
                <xdr:row>8</xdr:row>
                <xdr:rowOff>15240</xdr:rowOff>
              </from>
              <to>
                <xdr:col>6</xdr:col>
                <xdr:colOff>365760</xdr:colOff>
                <xdr:row>9</xdr:row>
                <xdr:rowOff>60960</xdr:rowOff>
              </to>
            </anchor>
          </controlPr>
        </control>
      </mc:Choice>
      <mc:Fallback>
        <control shapeId="2084" r:id="rId34" name="Control 36"/>
      </mc:Fallback>
    </mc:AlternateContent>
    <mc:AlternateContent xmlns:mc="http://schemas.openxmlformats.org/markup-compatibility/2006">
      <mc:Choice Requires="x14">
        <control shapeId="2082" r:id="rId36" name="Control 34">
          <controlPr defaultSize="0" r:id="rId37">
            <anchor moveWithCells="1">
              <from>
                <xdr:col>4</xdr:col>
                <xdr:colOff>0</xdr:colOff>
                <xdr:row>8</xdr:row>
                <xdr:rowOff>15240</xdr:rowOff>
              </from>
              <to>
                <xdr:col>4</xdr:col>
                <xdr:colOff>365760</xdr:colOff>
                <xdr:row>9</xdr:row>
                <xdr:rowOff>60960</xdr:rowOff>
              </to>
            </anchor>
          </controlPr>
        </control>
      </mc:Choice>
      <mc:Fallback>
        <control shapeId="2082" r:id="rId36" name="Control 34"/>
      </mc:Fallback>
    </mc:AlternateContent>
    <mc:AlternateContent xmlns:mc="http://schemas.openxmlformats.org/markup-compatibility/2006">
      <mc:Choice Requires="x14">
        <control shapeId="2081" r:id="rId38" name="Control 33">
          <controlPr defaultSize="0" r:id="rId39">
            <anchor moveWithCells="1">
              <from>
                <xdr:col>3</xdr:col>
                <xdr:colOff>0</xdr:colOff>
                <xdr:row>8</xdr:row>
                <xdr:rowOff>15240</xdr:rowOff>
              </from>
              <to>
                <xdr:col>4</xdr:col>
                <xdr:colOff>137160</xdr:colOff>
                <xdr:row>9</xdr:row>
                <xdr:rowOff>60960</xdr:rowOff>
              </to>
            </anchor>
          </controlPr>
        </control>
      </mc:Choice>
      <mc:Fallback>
        <control shapeId="2081" r:id="rId38" name="Control 33"/>
      </mc:Fallback>
    </mc:AlternateContent>
    <mc:AlternateContent xmlns:mc="http://schemas.openxmlformats.org/markup-compatibility/2006">
      <mc:Choice Requires="x14">
        <control shapeId="2080" r:id="rId40" name="Control 32">
          <controlPr defaultSize="0" r:id="rId41">
            <anchor moveWithCells="1">
              <from>
                <xdr:col>6</xdr:col>
                <xdr:colOff>0</xdr:colOff>
                <xdr:row>7</xdr:row>
                <xdr:rowOff>15240</xdr:rowOff>
              </from>
              <to>
                <xdr:col>6</xdr:col>
                <xdr:colOff>365760</xdr:colOff>
                <xdr:row>8</xdr:row>
                <xdr:rowOff>60960</xdr:rowOff>
              </to>
            </anchor>
          </controlPr>
        </control>
      </mc:Choice>
      <mc:Fallback>
        <control shapeId="2080" r:id="rId40" name="Control 32"/>
      </mc:Fallback>
    </mc:AlternateContent>
    <mc:AlternateContent xmlns:mc="http://schemas.openxmlformats.org/markup-compatibility/2006">
      <mc:Choice Requires="x14">
        <control shapeId="2078" r:id="rId42" name="Control 30">
          <controlPr defaultSize="0" r:id="rId37">
            <anchor moveWithCells="1">
              <from>
                <xdr:col>4</xdr:col>
                <xdr:colOff>0</xdr:colOff>
                <xdr:row>7</xdr:row>
                <xdr:rowOff>15240</xdr:rowOff>
              </from>
              <to>
                <xdr:col>4</xdr:col>
                <xdr:colOff>365760</xdr:colOff>
                <xdr:row>8</xdr:row>
                <xdr:rowOff>60960</xdr:rowOff>
              </to>
            </anchor>
          </controlPr>
        </control>
      </mc:Choice>
      <mc:Fallback>
        <control shapeId="2078" r:id="rId42" name="Control 30"/>
      </mc:Fallback>
    </mc:AlternateContent>
    <mc:AlternateContent xmlns:mc="http://schemas.openxmlformats.org/markup-compatibility/2006">
      <mc:Choice Requires="x14">
        <control shapeId="2077" r:id="rId43" name="Control 29">
          <controlPr defaultSize="0" r:id="rId39">
            <anchor moveWithCells="1">
              <from>
                <xdr:col>3</xdr:col>
                <xdr:colOff>0</xdr:colOff>
                <xdr:row>7</xdr:row>
                <xdr:rowOff>15240</xdr:rowOff>
              </from>
              <to>
                <xdr:col>4</xdr:col>
                <xdr:colOff>137160</xdr:colOff>
                <xdr:row>8</xdr:row>
                <xdr:rowOff>60960</xdr:rowOff>
              </to>
            </anchor>
          </controlPr>
        </control>
      </mc:Choice>
      <mc:Fallback>
        <control shapeId="2077" r:id="rId43" name="Control 29"/>
      </mc:Fallback>
    </mc:AlternateContent>
    <mc:AlternateContent xmlns:mc="http://schemas.openxmlformats.org/markup-compatibility/2006">
      <mc:Choice Requires="x14">
        <control shapeId="2076" r:id="rId44" name="Control 28">
          <controlPr defaultSize="0" r:id="rId45">
            <anchor moveWithCells="1">
              <from>
                <xdr:col>6</xdr:col>
                <xdr:colOff>0</xdr:colOff>
                <xdr:row>6</xdr:row>
                <xdr:rowOff>15240</xdr:rowOff>
              </from>
              <to>
                <xdr:col>6</xdr:col>
                <xdr:colOff>365760</xdr:colOff>
                <xdr:row>7</xdr:row>
                <xdr:rowOff>60960</xdr:rowOff>
              </to>
            </anchor>
          </controlPr>
        </control>
      </mc:Choice>
      <mc:Fallback>
        <control shapeId="2076" r:id="rId44" name="Control 28"/>
      </mc:Fallback>
    </mc:AlternateContent>
    <mc:AlternateContent xmlns:mc="http://schemas.openxmlformats.org/markup-compatibility/2006">
      <mc:Choice Requires="x14">
        <control shapeId="2074" r:id="rId46" name="Control 26">
          <controlPr defaultSize="0" r:id="rId37">
            <anchor moveWithCells="1">
              <from>
                <xdr:col>4</xdr:col>
                <xdr:colOff>0</xdr:colOff>
                <xdr:row>6</xdr:row>
                <xdr:rowOff>15240</xdr:rowOff>
              </from>
              <to>
                <xdr:col>4</xdr:col>
                <xdr:colOff>365760</xdr:colOff>
                <xdr:row>7</xdr:row>
                <xdr:rowOff>60960</xdr:rowOff>
              </to>
            </anchor>
          </controlPr>
        </control>
      </mc:Choice>
      <mc:Fallback>
        <control shapeId="2074" r:id="rId46" name="Control 26"/>
      </mc:Fallback>
    </mc:AlternateContent>
    <mc:AlternateContent xmlns:mc="http://schemas.openxmlformats.org/markup-compatibility/2006">
      <mc:Choice Requires="x14">
        <control shapeId="2073" r:id="rId47" name="Control 25">
          <controlPr defaultSize="0" r:id="rId39">
            <anchor moveWithCells="1">
              <from>
                <xdr:col>3</xdr:col>
                <xdr:colOff>0</xdr:colOff>
                <xdr:row>6</xdr:row>
                <xdr:rowOff>15240</xdr:rowOff>
              </from>
              <to>
                <xdr:col>4</xdr:col>
                <xdr:colOff>137160</xdr:colOff>
                <xdr:row>7</xdr:row>
                <xdr:rowOff>60960</xdr:rowOff>
              </to>
            </anchor>
          </controlPr>
        </control>
      </mc:Choice>
      <mc:Fallback>
        <control shapeId="2073" r:id="rId47" name="Control 25"/>
      </mc:Fallback>
    </mc:AlternateContent>
    <mc:AlternateContent xmlns:mc="http://schemas.openxmlformats.org/markup-compatibility/2006">
      <mc:Choice Requires="x14">
        <control shapeId="2072" r:id="rId48" name="Control 24">
          <controlPr defaultSize="0" r:id="rId49">
            <anchor moveWithCells="1">
              <from>
                <xdr:col>6</xdr:col>
                <xdr:colOff>0</xdr:colOff>
                <xdr:row>5</xdr:row>
                <xdr:rowOff>7620</xdr:rowOff>
              </from>
              <to>
                <xdr:col>6</xdr:col>
                <xdr:colOff>365760</xdr:colOff>
                <xdr:row>6</xdr:row>
                <xdr:rowOff>60960</xdr:rowOff>
              </to>
            </anchor>
          </controlPr>
        </control>
      </mc:Choice>
      <mc:Fallback>
        <control shapeId="2072" r:id="rId48" name="Control 24"/>
      </mc:Fallback>
    </mc:AlternateContent>
    <mc:AlternateContent xmlns:mc="http://schemas.openxmlformats.org/markup-compatibility/2006">
      <mc:Choice Requires="x14">
        <control shapeId="2070" r:id="rId50" name="Control 22">
          <controlPr defaultSize="0" r:id="rId19">
            <anchor moveWithCells="1">
              <from>
                <xdr:col>4</xdr:col>
                <xdr:colOff>0</xdr:colOff>
                <xdr:row>5</xdr:row>
                <xdr:rowOff>7620</xdr:rowOff>
              </from>
              <to>
                <xdr:col>4</xdr:col>
                <xdr:colOff>365760</xdr:colOff>
                <xdr:row>6</xdr:row>
                <xdr:rowOff>60960</xdr:rowOff>
              </to>
            </anchor>
          </controlPr>
        </control>
      </mc:Choice>
      <mc:Fallback>
        <control shapeId="2070" r:id="rId50" name="Control 22"/>
      </mc:Fallback>
    </mc:AlternateContent>
    <mc:AlternateContent xmlns:mc="http://schemas.openxmlformats.org/markup-compatibility/2006">
      <mc:Choice Requires="x14">
        <control shapeId="2069" r:id="rId51" name="Control 21">
          <controlPr defaultSize="0" r:id="rId21">
            <anchor moveWithCells="1">
              <from>
                <xdr:col>3</xdr:col>
                <xdr:colOff>0</xdr:colOff>
                <xdr:row>5</xdr:row>
                <xdr:rowOff>7620</xdr:rowOff>
              </from>
              <to>
                <xdr:col>4</xdr:col>
                <xdr:colOff>137160</xdr:colOff>
                <xdr:row>6</xdr:row>
                <xdr:rowOff>60960</xdr:rowOff>
              </to>
            </anchor>
          </controlPr>
        </control>
      </mc:Choice>
      <mc:Fallback>
        <control shapeId="2069" r:id="rId51" name="Control 21"/>
      </mc:Fallback>
    </mc:AlternateContent>
    <mc:AlternateContent xmlns:mc="http://schemas.openxmlformats.org/markup-compatibility/2006">
      <mc:Choice Requires="x14">
        <control shapeId="2068" r:id="rId52" name="Control 20">
          <controlPr defaultSize="0" r:id="rId31">
            <anchor moveWithCells="1">
              <from>
                <xdr:col>6</xdr:col>
                <xdr:colOff>0</xdr:colOff>
                <xdr:row>4</xdr:row>
                <xdr:rowOff>7620</xdr:rowOff>
              </from>
              <to>
                <xdr:col>6</xdr:col>
                <xdr:colOff>365760</xdr:colOff>
                <xdr:row>5</xdr:row>
                <xdr:rowOff>60960</xdr:rowOff>
              </to>
            </anchor>
          </controlPr>
        </control>
      </mc:Choice>
      <mc:Fallback>
        <control shapeId="2068" r:id="rId52" name="Control 20"/>
      </mc:Fallback>
    </mc:AlternateContent>
    <mc:AlternateContent xmlns:mc="http://schemas.openxmlformats.org/markup-compatibility/2006">
      <mc:Choice Requires="x14">
        <control shapeId="2066" r:id="rId53" name="Control 18">
          <controlPr defaultSize="0" r:id="rId19">
            <anchor moveWithCells="1">
              <from>
                <xdr:col>4</xdr:col>
                <xdr:colOff>0</xdr:colOff>
                <xdr:row>4</xdr:row>
                <xdr:rowOff>7620</xdr:rowOff>
              </from>
              <to>
                <xdr:col>4</xdr:col>
                <xdr:colOff>365760</xdr:colOff>
                <xdr:row>5</xdr:row>
                <xdr:rowOff>60960</xdr:rowOff>
              </to>
            </anchor>
          </controlPr>
        </control>
      </mc:Choice>
      <mc:Fallback>
        <control shapeId="2066" r:id="rId53" name="Control 18"/>
      </mc:Fallback>
    </mc:AlternateContent>
    <mc:AlternateContent xmlns:mc="http://schemas.openxmlformats.org/markup-compatibility/2006">
      <mc:Choice Requires="x14">
        <control shapeId="2065" r:id="rId54" name="Control 17">
          <controlPr defaultSize="0" r:id="rId21">
            <anchor moveWithCells="1">
              <from>
                <xdr:col>3</xdr:col>
                <xdr:colOff>0</xdr:colOff>
                <xdr:row>4</xdr:row>
                <xdr:rowOff>7620</xdr:rowOff>
              </from>
              <to>
                <xdr:col>4</xdr:col>
                <xdr:colOff>137160</xdr:colOff>
                <xdr:row>5</xdr:row>
                <xdr:rowOff>60960</xdr:rowOff>
              </to>
            </anchor>
          </controlPr>
        </control>
      </mc:Choice>
      <mc:Fallback>
        <control shapeId="2065" r:id="rId54" name="Control 17"/>
      </mc:Fallback>
    </mc:AlternateContent>
    <mc:AlternateContent xmlns:mc="http://schemas.openxmlformats.org/markup-compatibility/2006">
      <mc:Choice Requires="x14">
        <control shapeId="2064" r:id="rId55" name="Control 16">
          <controlPr defaultSize="0" r:id="rId49">
            <anchor moveWithCells="1">
              <from>
                <xdr:col>6</xdr:col>
                <xdr:colOff>0</xdr:colOff>
                <xdr:row>3</xdr:row>
                <xdr:rowOff>7620</xdr:rowOff>
              </from>
              <to>
                <xdr:col>6</xdr:col>
                <xdr:colOff>365760</xdr:colOff>
                <xdr:row>4</xdr:row>
                <xdr:rowOff>60960</xdr:rowOff>
              </to>
            </anchor>
          </controlPr>
        </control>
      </mc:Choice>
      <mc:Fallback>
        <control shapeId="2064" r:id="rId55" name="Control 16"/>
      </mc:Fallback>
    </mc:AlternateContent>
    <mc:AlternateContent xmlns:mc="http://schemas.openxmlformats.org/markup-compatibility/2006">
      <mc:Choice Requires="x14">
        <control shapeId="2062" r:id="rId56" name="Control 14">
          <controlPr defaultSize="0" r:id="rId19">
            <anchor moveWithCells="1">
              <from>
                <xdr:col>4</xdr:col>
                <xdr:colOff>0</xdr:colOff>
                <xdr:row>3</xdr:row>
                <xdr:rowOff>7620</xdr:rowOff>
              </from>
              <to>
                <xdr:col>4</xdr:col>
                <xdr:colOff>365760</xdr:colOff>
                <xdr:row>4</xdr:row>
                <xdr:rowOff>60960</xdr:rowOff>
              </to>
            </anchor>
          </controlPr>
        </control>
      </mc:Choice>
      <mc:Fallback>
        <control shapeId="2062" r:id="rId56" name="Control 14"/>
      </mc:Fallback>
    </mc:AlternateContent>
    <mc:AlternateContent xmlns:mc="http://schemas.openxmlformats.org/markup-compatibility/2006">
      <mc:Choice Requires="x14">
        <control shapeId="2061" r:id="rId57" name="Control 13">
          <controlPr defaultSize="0" r:id="rId21">
            <anchor moveWithCells="1">
              <from>
                <xdr:col>3</xdr:col>
                <xdr:colOff>0</xdr:colOff>
                <xdr:row>3</xdr:row>
                <xdr:rowOff>7620</xdr:rowOff>
              </from>
              <to>
                <xdr:col>4</xdr:col>
                <xdr:colOff>137160</xdr:colOff>
                <xdr:row>4</xdr:row>
                <xdr:rowOff>60960</xdr:rowOff>
              </to>
            </anchor>
          </controlPr>
        </control>
      </mc:Choice>
      <mc:Fallback>
        <control shapeId="2061" r:id="rId57" name="Control 13"/>
      </mc:Fallback>
    </mc:AlternateContent>
    <mc:AlternateContent xmlns:mc="http://schemas.openxmlformats.org/markup-compatibility/2006">
      <mc:Choice Requires="x14">
        <control shapeId="2060" r:id="rId58" name="Control 12">
          <controlPr defaultSize="0" r:id="rId49">
            <anchor moveWithCells="1">
              <from>
                <xdr:col>6</xdr:col>
                <xdr:colOff>0</xdr:colOff>
                <xdr:row>2</xdr:row>
                <xdr:rowOff>7620</xdr:rowOff>
              </from>
              <to>
                <xdr:col>6</xdr:col>
                <xdr:colOff>365760</xdr:colOff>
                <xdr:row>3</xdr:row>
                <xdr:rowOff>60960</xdr:rowOff>
              </to>
            </anchor>
          </controlPr>
        </control>
      </mc:Choice>
      <mc:Fallback>
        <control shapeId="2060" r:id="rId58" name="Control 12"/>
      </mc:Fallback>
    </mc:AlternateContent>
    <mc:AlternateContent xmlns:mc="http://schemas.openxmlformats.org/markup-compatibility/2006">
      <mc:Choice Requires="x14">
        <control shapeId="2058" r:id="rId59" name="Control 10">
          <controlPr defaultSize="0" r:id="rId19">
            <anchor moveWithCells="1">
              <from>
                <xdr:col>4</xdr:col>
                <xdr:colOff>0</xdr:colOff>
                <xdr:row>2</xdr:row>
                <xdr:rowOff>7620</xdr:rowOff>
              </from>
              <to>
                <xdr:col>4</xdr:col>
                <xdr:colOff>365760</xdr:colOff>
                <xdr:row>3</xdr:row>
                <xdr:rowOff>60960</xdr:rowOff>
              </to>
            </anchor>
          </controlPr>
        </control>
      </mc:Choice>
      <mc:Fallback>
        <control shapeId="2058" r:id="rId59" name="Control 10"/>
      </mc:Fallback>
    </mc:AlternateContent>
    <mc:AlternateContent xmlns:mc="http://schemas.openxmlformats.org/markup-compatibility/2006">
      <mc:Choice Requires="x14">
        <control shapeId="2057" r:id="rId60" name="Control 9">
          <controlPr defaultSize="0" r:id="rId21">
            <anchor moveWithCells="1">
              <from>
                <xdr:col>3</xdr:col>
                <xdr:colOff>0</xdr:colOff>
                <xdr:row>2</xdr:row>
                <xdr:rowOff>7620</xdr:rowOff>
              </from>
              <to>
                <xdr:col>4</xdr:col>
                <xdr:colOff>137160</xdr:colOff>
                <xdr:row>3</xdr:row>
                <xdr:rowOff>60960</xdr:rowOff>
              </to>
            </anchor>
          </controlPr>
        </control>
      </mc:Choice>
      <mc:Fallback>
        <control shapeId="2057" r:id="rId60" name="Control 9"/>
      </mc:Fallback>
    </mc:AlternateContent>
    <mc:AlternateContent xmlns:mc="http://schemas.openxmlformats.org/markup-compatibility/2006">
      <mc:Choice Requires="x14">
        <control shapeId="2056" r:id="rId61" name="Control 8">
          <controlPr defaultSize="0" r:id="rId62">
            <anchor moveWithCells="1">
              <from>
                <xdr:col>6</xdr:col>
                <xdr:colOff>0</xdr:colOff>
                <xdr:row>1</xdr:row>
                <xdr:rowOff>0</xdr:rowOff>
              </from>
              <to>
                <xdr:col>6</xdr:col>
                <xdr:colOff>365760</xdr:colOff>
                <xdr:row>2</xdr:row>
                <xdr:rowOff>60960</xdr:rowOff>
              </to>
            </anchor>
          </controlPr>
        </control>
      </mc:Choice>
      <mc:Fallback>
        <control shapeId="2056" r:id="rId61" name="Control 8"/>
      </mc:Fallback>
    </mc:AlternateContent>
    <mc:AlternateContent xmlns:mc="http://schemas.openxmlformats.org/markup-compatibility/2006">
      <mc:Choice Requires="x14">
        <control shapeId="2054" r:id="rId63" name="Control 6">
          <controlPr defaultSize="0" r:id="rId64">
            <anchor moveWithCells="1">
              <from>
                <xdr:col>4</xdr:col>
                <xdr:colOff>0</xdr:colOff>
                <xdr:row>1</xdr:row>
                <xdr:rowOff>0</xdr:rowOff>
              </from>
              <to>
                <xdr:col>4</xdr:col>
                <xdr:colOff>365760</xdr:colOff>
                <xdr:row>2</xdr:row>
                <xdr:rowOff>60960</xdr:rowOff>
              </to>
            </anchor>
          </controlPr>
        </control>
      </mc:Choice>
      <mc:Fallback>
        <control shapeId="2054" r:id="rId63" name="Control 6"/>
      </mc:Fallback>
    </mc:AlternateContent>
    <mc:AlternateContent xmlns:mc="http://schemas.openxmlformats.org/markup-compatibility/2006">
      <mc:Choice Requires="x14">
        <control shapeId="2053" r:id="rId65" name="Control 5">
          <controlPr defaultSize="0" r:id="rId66">
            <anchor moveWithCells="1">
              <from>
                <xdr:col>3</xdr:col>
                <xdr:colOff>0</xdr:colOff>
                <xdr:row>1</xdr:row>
                <xdr:rowOff>0</xdr:rowOff>
              </from>
              <to>
                <xdr:col>4</xdr:col>
                <xdr:colOff>137160</xdr:colOff>
                <xdr:row>2</xdr:row>
                <xdr:rowOff>60960</xdr:rowOff>
              </to>
            </anchor>
          </controlPr>
        </control>
      </mc:Choice>
      <mc:Fallback>
        <control shapeId="2053" r:id="rId65" name="Control 5"/>
      </mc:Fallback>
    </mc:AlternateContent>
    <mc:AlternateContent xmlns:mc="http://schemas.openxmlformats.org/markup-compatibility/2006">
      <mc:Choice Requires="x14">
        <control shapeId="2052" r:id="rId67" name="Control 4">
          <controlPr defaultSize="0" r:id="rId49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365760</xdr:colOff>
                <xdr:row>1</xdr:row>
                <xdr:rowOff>45720</xdr:rowOff>
              </to>
            </anchor>
          </controlPr>
        </control>
      </mc:Choice>
      <mc:Fallback>
        <control shapeId="2052" r:id="rId67" name="Control 4"/>
      </mc:Fallback>
    </mc:AlternateContent>
    <mc:AlternateContent xmlns:mc="http://schemas.openxmlformats.org/markup-compatibility/2006">
      <mc:Choice Requires="x14">
        <control shapeId="2050" r:id="rId68" name="Control 2">
          <controlPr defaultSize="0" r:id="rId19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365760</xdr:colOff>
                <xdr:row>1</xdr:row>
                <xdr:rowOff>45720</xdr:rowOff>
              </to>
            </anchor>
          </controlPr>
        </control>
      </mc:Choice>
      <mc:Fallback>
        <control shapeId="2050" r:id="rId68" name="Control 2"/>
      </mc:Fallback>
    </mc:AlternateContent>
    <mc:AlternateContent xmlns:mc="http://schemas.openxmlformats.org/markup-compatibility/2006">
      <mc:Choice Requires="x14">
        <control shapeId="2049" r:id="rId69" name="Control 1">
          <controlPr defaultSize="0" r:id="rId21">
            <anchor moveWithCells="1">
              <from>
                <xdr:col>3</xdr:col>
                <xdr:colOff>0</xdr:colOff>
                <xdr:row>0</xdr:row>
                <xdr:rowOff>0</xdr:rowOff>
              </from>
              <to>
                <xdr:col>4</xdr:col>
                <xdr:colOff>137160</xdr:colOff>
                <xdr:row>1</xdr:row>
                <xdr:rowOff>45720</xdr:rowOff>
              </to>
            </anchor>
          </controlPr>
        </control>
      </mc:Choice>
      <mc:Fallback>
        <control shapeId="2049" r:id="rId69" name="Control 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95B7D-7240-41D1-AECC-7C690CAC5094}">
  <dimension ref="A1:AD11"/>
  <sheetViews>
    <sheetView workbookViewId="0">
      <selection activeCell="D2" sqref="D2"/>
    </sheetView>
  </sheetViews>
  <sheetFormatPr defaultRowHeight="14.4" x14ac:dyDescent="0.3"/>
  <cols>
    <col min="1" max="2" width="10" bestFit="1" customWidth="1"/>
  </cols>
  <sheetData>
    <row r="1" spans="1:30" x14ac:dyDescent="0.3">
      <c r="A1" t="s">
        <v>29</v>
      </c>
      <c r="B1" s="1">
        <v>1</v>
      </c>
      <c r="C1" s="1"/>
      <c r="D1" s="1">
        <v>2</v>
      </c>
      <c r="E1" s="1"/>
      <c r="F1" s="1">
        <v>3</v>
      </c>
      <c r="G1" s="1"/>
      <c r="H1" s="1">
        <v>4</v>
      </c>
      <c r="I1" s="1"/>
      <c r="J1" s="1">
        <v>5</v>
      </c>
      <c r="K1" s="1"/>
      <c r="L1" s="1">
        <v>6</v>
      </c>
      <c r="M1" s="1"/>
      <c r="N1" s="1">
        <v>7</v>
      </c>
      <c r="O1" s="1"/>
      <c r="P1" s="1">
        <v>8</v>
      </c>
      <c r="Q1" s="1"/>
      <c r="R1" s="1">
        <v>9</v>
      </c>
      <c r="S1" s="1"/>
      <c r="T1" s="1">
        <v>10</v>
      </c>
      <c r="U1" s="1"/>
      <c r="V1" s="1">
        <v>11</v>
      </c>
      <c r="W1" s="1"/>
      <c r="X1" s="1">
        <v>12</v>
      </c>
      <c r="Y1" s="1"/>
      <c r="Z1" s="1">
        <v>13</v>
      </c>
      <c r="AA1" s="1"/>
      <c r="AC1" s="1"/>
      <c r="AD1" s="1"/>
    </row>
    <row r="2" spans="1:30" x14ac:dyDescent="0.3">
      <c r="A2" s="1">
        <v>1</v>
      </c>
      <c r="B2" s="2">
        <v>5.5</v>
      </c>
      <c r="C2" s="2">
        <v>7</v>
      </c>
      <c r="D2" s="2">
        <v>5.5</v>
      </c>
      <c r="E2" s="2">
        <v>3.4</v>
      </c>
      <c r="F2" s="2">
        <v>5.5</v>
      </c>
      <c r="G2" s="2">
        <v>8</v>
      </c>
      <c r="H2" s="2">
        <v>10</v>
      </c>
      <c r="I2" s="2">
        <f>C2*1.5</f>
        <v>10.5</v>
      </c>
      <c r="J2" s="2">
        <v>10</v>
      </c>
      <c r="K2" s="2">
        <f>E2*1.5</f>
        <v>5.0999999999999996</v>
      </c>
      <c r="L2" s="2">
        <v>10</v>
      </c>
      <c r="M2" s="2">
        <f>G2*1.5</f>
        <v>12</v>
      </c>
      <c r="N2" s="2">
        <v>1.5</v>
      </c>
      <c r="O2" s="2">
        <f>C2/3</f>
        <v>2.3333333333333335</v>
      </c>
      <c r="P2" s="2">
        <v>1.5</v>
      </c>
      <c r="Q2" s="2">
        <f>E2/3</f>
        <v>1.1333333333333333</v>
      </c>
      <c r="R2" s="2">
        <v>1.5</v>
      </c>
      <c r="S2" s="2">
        <f>G2/3.5</f>
        <v>2.2857142857142856</v>
      </c>
      <c r="T2" s="2">
        <v>15</v>
      </c>
      <c r="U2" s="2">
        <f>L2</f>
        <v>10</v>
      </c>
      <c r="V2" s="2">
        <v>15</v>
      </c>
      <c r="W2" s="2">
        <f>U2*1.5</f>
        <v>15</v>
      </c>
      <c r="X2" s="2">
        <v>15</v>
      </c>
      <c r="Y2" s="2">
        <f>U2*0.9</f>
        <v>9</v>
      </c>
      <c r="Z2" s="2">
        <v>95</v>
      </c>
      <c r="AA2" s="2">
        <f>X2*3</f>
        <v>45</v>
      </c>
      <c r="AC2" s="2"/>
      <c r="AD2" s="2"/>
    </row>
    <row r="3" spans="1:30" x14ac:dyDescent="0.3">
      <c r="A3" s="1">
        <v>2</v>
      </c>
      <c r="B3" s="2">
        <v>5</v>
      </c>
      <c r="C3" s="2">
        <v>6.5</v>
      </c>
      <c r="D3" s="2">
        <v>5</v>
      </c>
      <c r="E3" s="2">
        <v>4.7</v>
      </c>
      <c r="F3" s="2">
        <v>5</v>
      </c>
      <c r="G3" s="2">
        <v>5</v>
      </c>
      <c r="H3" s="2">
        <v>20</v>
      </c>
      <c r="I3" s="2">
        <f t="shared" ref="I3:I11" si="0">C3*1.5</f>
        <v>9.75</v>
      </c>
      <c r="J3" s="2">
        <v>20</v>
      </c>
      <c r="K3" s="2">
        <f t="shared" ref="K3:K11" si="1">C3*1.5</f>
        <v>9.75</v>
      </c>
      <c r="L3" s="2">
        <v>20</v>
      </c>
      <c r="M3" s="2">
        <f t="shared" ref="M3:M11" si="2">G3*1.5</f>
        <v>7.5</v>
      </c>
      <c r="N3" s="2">
        <v>1.9</v>
      </c>
      <c r="O3" s="2">
        <f t="shared" ref="O3:O11" si="3">C3/3</f>
        <v>2.1666666666666665</v>
      </c>
      <c r="P3" s="2">
        <v>1.9</v>
      </c>
      <c r="Q3" s="2">
        <f t="shared" ref="Q3:Q11" si="4">E3/3</f>
        <v>1.5666666666666667</v>
      </c>
      <c r="R3" s="2">
        <v>1.9</v>
      </c>
      <c r="S3" s="2">
        <f t="shared" ref="S3:S11" si="5">G3/3.5</f>
        <v>1.4285714285714286</v>
      </c>
      <c r="T3" s="2">
        <v>38</v>
      </c>
      <c r="U3" s="2">
        <f t="shared" ref="U3:U11" si="6">L3</f>
        <v>20</v>
      </c>
      <c r="V3" s="2">
        <v>38</v>
      </c>
      <c r="W3" s="2">
        <f t="shared" ref="W3:W11" si="7">U3*1.5</f>
        <v>30</v>
      </c>
      <c r="X3" s="2">
        <v>38</v>
      </c>
      <c r="Y3" s="2">
        <f t="shared" ref="Y3:Y11" si="8">U3*0.9</f>
        <v>18</v>
      </c>
      <c r="Z3" s="2">
        <v>105</v>
      </c>
      <c r="AA3" s="2">
        <f t="shared" ref="AA3:AA11" si="9">X3*3</f>
        <v>114</v>
      </c>
      <c r="AC3" s="2"/>
      <c r="AD3" s="2"/>
    </row>
    <row r="4" spans="1:30" x14ac:dyDescent="0.3">
      <c r="A4" s="1">
        <v>3</v>
      </c>
      <c r="B4" s="2">
        <v>6</v>
      </c>
      <c r="C4" s="2">
        <v>5</v>
      </c>
      <c r="D4" s="2">
        <v>6</v>
      </c>
      <c r="E4" s="2">
        <v>5</v>
      </c>
      <c r="F4" s="2">
        <v>6</v>
      </c>
      <c r="G4" s="2">
        <v>6</v>
      </c>
      <c r="H4" s="2">
        <v>13</v>
      </c>
      <c r="I4" s="2">
        <f t="shared" si="0"/>
        <v>7.5</v>
      </c>
      <c r="J4" s="2">
        <v>13</v>
      </c>
      <c r="K4" s="2">
        <f t="shared" si="1"/>
        <v>7.5</v>
      </c>
      <c r="L4" s="2">
        <v>13</v>
      </c>
      <c r="M4" s="2">
        <f t="shared" si="2"/>
        <v>9</v>
      </c>
      <c r="N4" s="2">
        <v>1.2</v>
      </c>
      <c r="O4" s="2">
        <f t="shared" si="3"/>
        <v>1.6666666666666667</v>
      </c>
      <c r="P4" s="2">
        <v>1.2</v>
      </c>
      <c r="Q4" s="2">
        <f t="shared" si="4"/>
        <v>1.6666666666666667</v>
      </c>
      <c r="R4" s="2">
        <v>1.2</v>
      </c>
      <c r="S4" s="2">
        <f t="shared" si="5"/>
        <v>1.7142857142857142</v>
      </c>
      <c r="T4" s="2">
        <v>22</v>
      </c>
      <c r="U4" s="2">
        <f t="shared" si="6"/>
        <v>13</v>
      </c>
      <c r="V4" s="2">
        <v>22</v>
      </c>
      <c r="W4" s="2">
        <f t="shared" si="7"/>
        <v>19.5</v>
      </c>
      <c r="X4" s="2">
        <v>22</v>
      </c>
      <c r="Y4" s="2">
        <f t="shared" si="8"/>
        <v>11.700000000000001</v>
      </c>
      <c r="Z4" s="2">
        <v>70</v>
      </c>
      <c r="AA4" s="2">
        <f t="shared" si="9"/>
        <v>66</v>
      </c>
      <c r="AC4" s="2"/>
      <c r="AD4" s="2"/>
    </row>
    <row r="5" spans="1:30" x14ac:dyDescent="0.3">
      <c r="A5" s="1">
        <v>4</v>
      </c>
      <c r="B5" s="2">
        <v>5.5</v>
      </c>
      <c r="C5" s="2">
        <v>5.5</v>
      </c>
      <c r="D5" s="2">
        <v>5.5</v>
      </c>
      <c r="E5" s="2">
        <v>4</v>
      </c>
      <c r="F5" s="2">
        <v>5.5</v>
      </c>
      <c r="G5" s="2">
        <v>7.5</v>
      </c>
      <c r="H5" s="2">
        <v>15</v>
      </c>
      <c r="I5" s="2">
        <f t="shared" si="0"/>
        <v>8.25</v>
      </c>
      <c r="J5" s="2">
        <v>15</v>
      </c>
      <c r="K5" s="2">
        <f t="shared" si="1"/>
        <v>8.25</v>
      </c>
      <c r="L5" s="2">
        <v>15</v>
      </c>
      <c r="M5" s="2">
        <f t="shared" si="2"/>
        <v>11.25</v>
      </c>
      <c r="N5" s="2">
        <v>1.4</v>
      </c>
      <c r="O5" s="2">
        <f t="shared" si="3"/>
        <v>1.8333333333333333</v>
      </c>
      <c r="P5" s="2">
        <v>1.4</v>
      </c>
      <c r="Q5" s="2">
        <f t="shared" si="4"/>
        <v>1.3333333333333333</v>
      </c>
      <c r="R5" s="2">
        <v>1.4</v>
      </c>
      <c r="S5" s="2">
        <f t="shared" si="5"/>
        <v>2.1428571428571428</v>
      </c>
      <c r="T5" s="2">
        <v>9</v>
      </c>
      <c r="U5" s="2">
        <f t="shared" si="6"/>
        <v>15</v>
      </c>
      <c r="V5" s="2">
        <v>9</v>
      </c>
      <c r="W5" s="2">
        <f t="shared" si="7"/>
        <v>22.5</v>
      </c>
      <c r="X5" s="2">
        <v>9</v>
      </c>
      <c r="Y5" s="2">
        <f t="shared" si="8"/>
        <v>13.5</v>
      </c>
      <c r="Z5" s="2">
        <v>83</v>
      </c>
      <c r="AA5" s="2">
        <f t="shared" si="9"/>
        <v>27</v>
      </c>
      <c r="AC5" s="2"/>
      <c r="AD5" s="2"/>
    </row>
    <row r="6" spans="1:30" x14ac:dyDescent="0.3">
      <c r="A6" s="1">
        <v>5</v>
      </c>
      <c r="B6" s="2">
        <v>4.5</v>
      </c>
      <c r="C6" s="2">
        <v>6</v>
      </c>
      <c r="D6" s="2">
        <v>4.5</v>
      </c>
      <c r="E6" s="2">
        <v>4.5</v>
      </c>
      <c r="F6" s="2">
        <v>4.5</v>
      </c>
      <c r="G6" s="2">
        <v>7</v>
      </c>
      <c r="H6" s="2">
        <v>17</v>
      </c>
      <c r="I6" s="2">
        <f t="shared" si="0"/>
        <v>9</v>
      </c>
      <c r="J6" s="2">
        <v>17</v>
      </c>
      <c r="K6" s="2">
        <f t="shared" si="1"/>
        <v>9</v>
      </c>
      <c r="L6" s="2">
        <v>17</v>
      </c>
      <c r="M6" s="2">
        <f t="shared" si="2"/>
        <v>10.5</v>
      </c>
      <c r="N6" s="2">
        <v>1.5</v>
      </c>
      <c r="O6" s="2">
        <f t="shared" si="3"/>
        <v>2</v>
      </c>
      <c r="P6" s="2">
        <v>1.5</v>
      </c>
      <c r="Q6" s="2">
        <f t="shared" si="4"/>
        <v>1.5</v>
      </c>
      <c r="R6" s="2">
        <v>1.5</v>
      </c>
      <c r="S6" s="2">
        <f t="shared" si="5"/>
        <v>2</v>
      </c>
      <c r="T6" s="2">
        <v>20</v>
      </c>
      <c r="U6" s="2">
        <f t="shared" si="6"/>
        <v>17</v>
      </c>
      <c r="V6" s="2">
        <v>20</v>
      </c>
      <c r="W6" s="2">
        <f t="shared" si="7"/>
        <v>25.5</v>
      </c>
      <c r="X6" s="2">
        <v>20</v>
      </c>
      <c r="Y6" s="2">
        <f t="shared" si="8"/>
        <v>15.3</v>
      </c>
      <c r="Z6" s="2">
        <v>87</v>
      </c>
      <c r="AA6" s="2">
        <f t="shared" si="9"/>
        <v>60</v>
      </c>
      <c r="AC6" s="2"/>
      <c r="AD6" s="2"/>
    </row>
    <row r="7" spans="1:30" x14ac:dyDescent="0.3">
      <c r="A7" s="1">
        <v>6</v>
      </c>
      <c r="B7" s="2">
        <v>5.0999999999999996</v>
      </c>
      <c r="C7" s="2">
        <v>6.8</v>
      </c>
      <c r="D7" s="2">
        <v>5.0999999999999996</v>
      </c>
      <c r="E7" s="2">
        <v>3.7</v>
      </c>
      <c r="F7" s="2">
        <v>5.0999999999999996</v>
      </c>
      <c r="G7" s="2">
        <v>7.8</v>
      </c>
      <c r="H7" s="2">
        <v>18</v>
      </c>
      <c r="I7" s="2">
        <f t="shared" si="0"/>
        <v>10.199999999999999</v>
      </c>
      <c r="J7" s="2">
        <v>18</v>
      </c>
      <c r="K7" s="2">
        <f t="shared" si="1"/>
        <v>10.199999999999999</v>
      </c>
      <c r="L7" s="2">
        <v>18</v>
      </c>
      <c r="M7" s="2">
        <f t="shared" si="2"/>
        <v>11.7</v>
      </c>
      <c r="N7" s="2">
        <v>1.3</v>
      </c>
      <c r="O7" s="2">
        <f t="shared" si="3"/>
        <v>2.2666666666666666</v>
      </c>
      <c r="P7" s="2">
        <v>1.3</v>
      </c>
      <c r="Q7" s="2">
        <f t="shared" si="4"/>
        <v>1.2333333333333334</v>
      </c>
      <c r="R7" s="2">
        <v>1.3</v>
      </c>
      <c r="S7" s="2">
        <f t="shared" si="5"/>
        <v>2.2285714285714286</v>
      </c>
      <c r="T7" s="2">
        <v>16</v>
      </c>
      <c r="U7" s="2">
        <f t="shared" si="6"/>
        <v>18</v>
      </c>
      <c r="V7" s="2">
        <v>16</v>
      </c>
      <c r="W7" s="2">
        <f t="shared" si="7"/>
        <v>27</v>
      </c>
      <c r="X7" s="2">
        <v>16</v>
      </c>
      <c r="Y7" s="2">
        <f t="shared" si="8"/>
        <v>16.2</v>
      </c>
      <c r="Z7" s="2">
        <v>91</v>
      </c>
      <c r="AA7" s="2">
        <f t="shared" si="9"/>
        <v>48</v>
      </c>
      <c r="AC7" s="2"/>
      <c r="AD7" s="2"/>
    </row>
    <row r="8" spans="1:30" x14ac:dyDescent="0.3">
      <c r="A8" s="1">
        <v>7</v>
      </c>
      <c r="B8" s="2">
        <v>5.2</v>
      </c>
      <c r="C8" s="2">
        <v>5.3</v>
      </c>
      <c r="D8" s="2">
        <v>5.2</v>
      </c>
      <c r="E8" s="2">
        <v>4.9000000000000004</v>
      </c>
      <c r="F8" s="2">
        <v>5.2</v>
      </c>
      <c r="G8" s="2">
        <v>6.5</v>
      </c>
      <c r="H8" s="2">
        <v>12</v>
      </c>
      <c r="I8" s="2">
        <f t="shared" si="0"/>
        <v>7.9499999999999993</v>
      </c>
      <c r="J8" s="2">
        <v>12</v>
      </c>
      <c r="K8" s="2">
        <f t="shared" si="1"/>
        <v>7.9499999999999993</v>
      </c>
      <c r="L8" s="2">
        <v>12</v>
      </c>
      <c r="M8" s="2">
        <f t="shared" si="2"/>
        <v>9.75</v>
      </c>
      <c r="N8" s="2">
        <v>1.6</v>
      </c>
      <c r="O8" s="2">
        <f t="shared" si="3"/>
        <v>1.7666666666666666</v>
      </c>
      <c r="P8" s="2">
        <v>1.6</v>
      </c>
      <c r="Q8" s="2">
        <f t="shared" si="4"/>
        <v>1.6333333333333335</v>
      </c>
      <c r="R8" s="2">
        <v>1.6</v>
      </c>
      <c r="S8" s="2">
        <f t="shared" si="5"/>
        <v>1.8571428571428572</v>
      </c>
      <c r="T8" s="2">
        <v>11</v>
      </c>
      <c r="U8" s="2">
        <f t="shared" si="6"/>
        <v>12</v>
      </c>
      <c r="V8" s="2">
        <v>11</v>
      </c>
      <c r="W8" s="2">
        <f t="shared" si="7"/>
        <v>18</v>
      </c>
      <c r="X8" s="2">
        <v>11</v>
      </c>
      <c r="Y8" s="2">
        <f t="shared" si="8"/>
        <v>10.8</v>
      </c>
      <c r="Z8" s="2">
        <v>88</v>
      </c>
      <c r="AA8" s="2">
        <f t="shared" si="9"/>
        <v>33</v>
      </c>
      <c r="AC8" s="2"/>
      <c r="AD8" s="2"/>
    </row>
    <row r="9" spans="1:30" x14ac:dyDescent="0.3">
      <c r="A9" s="1">
        <v>8</v>
      </c>
      <c r="B9" s="2">
        <v>4.8</v>
      </c>
      <c r="C9" s="2">
        <v>6.4</v>
      </c>
      <c r="D9" s="2">
        <v>4.8</v>
      </c>
      <c r="E9" s="2">
        <v>4.3</v>
      </c>
      <c r="F9" s="2">
        <v>4.8</v>
      </c>
      <c r="G9" s="2">
        <v>5.5</v>
      </c>
      <c r="H9" s="2">
        <v>19</v>
      </c>
      <c r="I9" s="2">
        <f t="shared" si="0"/>
        <v>9.6000000000000014</v>
      </c>
      <c r="J9" s="2">
        <v>19</v>
      </c>
      <c r="K9" s="2">
        <f t="shared" si="1"/>
        <v>9.6000000000000014</v>
      </c>
      <c r="L9" s="2">
        <v>19</v>
      </c>
      <c r="M9" s="2">
        <f t="shared" si="2"/>
        <v>8.25</v>
      </c>
      <c r="N9" s="2">
        <v>1.2</v>
      </c>
      <c r="O9" s="2">
        <f t="shared" si="3"/>
        <v>2.1333333333333333</v>
      </c>
      <c r="P9" s="2">
        <v>1.2</v>
      </c>
      <c r="Q9" s="2">
        <f t="shared" si="4"/>
        <v>1.4333333333333333</v>
      </c>
      <c r="R9" s="2">
        <v>1.2</v>
      </c>
      <c r="S9" s="2">
        <f t="shared" si="5"/>
        <v>1.5714285714285714</v>
      </c>
      <c r="T9" s="2">
        <v>10</v>
      </c>
      <c r="U9" s="2">
        <f t="shared" si="6"/>
        <v>19</v>
      </c>
      <c r="V9" s="2">
        <v>10</v>
      </c>
      <c r="W9" s="2">
        <f t="shared" si="7"/>
        <v>28.5</v>
      </c>
      <c r="X9" s="2">
        <v>10</v>
      </c>
      <c r="Y9" s="2">
        <f t="shared" si="8"/>
        <v>17.100000000000001</v>
      </c>
      <c r="Z9" s="2">
        <v>94</v>
      </c>
      <c r="AA9" s="2">
        <f t="shared" si="9"/>
        <v>30</v>
      </c>
      <c r="AC9" s="2"/>
      <c r="AD9" s="2"/>
    </row>
    <row r="10" spans="1:30" x14ac:dyDescent="0.3">
      <c r="A10" s="1">
        <v>9</v>
      </c>
      <c r="B10" s="2">
        <v>6</v>
      </c>
      <c r="C10" s="2">
        <v>7</v>
      </c>
      <c r="D10" s="2">
        <v>6</v>
      </c>
      <c r="E10" s="2">
        <v>3.9</v>
      </c>
      <c r="F10" s="2">
        <v>6</v>
      </c>
      <c r="G10" s="2">
        <v>6.3</v>
      </c>
      <c r="H10" s="2">
        <v>18</v>
      </c>
      <c r="I10" s="2">
        <f t="shared" si="0"/>
        <v>10.5</v>
      </c>
      <c r="J10" s="2">
        <v>18</v>
      </c>
      <c r="K10" s="2">
        <f t="shared" si="1"/>
        <v>10.5</v>
      </c>
      <c r="L10" s="2">
        <v>18</v>
      </c>
      <c r="M10" s="2">
        <f t="shared" si="2"/>
        <v>9.4499999999999993</v>
      </c>
      <c r="N10" s="2">
        <v>1.3</v>
      </c>
      <c r="O10" s="2">
        <f t="shared" si="3"/>
        <v>2.3333333333333335</v>
      </c>
      <c r="P10" s="2">
        <v>1.3</v>
      </c>
      <c r="Q10" s="2">
        <f t="shared" si="4"/>
        <v>1.3</v>
      </c>
      <c r="R10" s="2">
        <v>1.3</v>
      </c>
      <c r="S10" s="2">
        <f t="shared" si="5"/>
        <v>1.8</v>
      </c>
      <c r="T10" s="2">
        <v>19</v>
      </c>
      <c r="U10" s="2">
        <f t="shared" si="6"/>
        <v>18</v>
      </c>
      <c r="V10" s="2">
        <v>19</v>
      </c>
      <c r="W10" s="2">
        <f t="shared" si="7"/>
        <v>27</v>
      </c>
      <c r="X10" s="2">
        <v>19</v>
      </c>
      <c r="Y10" s="2">
        <f t="shared" si="8"/>
        <v>16.2</v>
      </c>
      <c r="Z10" s="2">
        <v>100</v>
      </c>
      <c r="AA10" s="2">
        <f t="shared" si="9"/>
        <v>57</v>
      </c>
      <c r="AC10" s="2"/>
      <c r="AD10" s="2"/>
    </row>
    <row r="11" spans="1:30" x14ac:dyDescent="0.3">
      <c r="A11" s="1">
        <v>10</v>
      </c>
      <c r="B11" s="2">
        <v>5.5</v>
      </c>
      <c r="C11" s="2">
        <v>6.7</v>
      </c>
      <c r="D11" s="2">
        <v>5.5</v>
      </c>
      <c r="E11" s="2">
        <v>4.0999999999999996</v>
      </c>
      <c r="F11" s="2">
        <v>5.5</v>
      </c>
      <c r="G11" s="2">
        <v>6.8</v>
      </c>
      <c r="H11" s="2">
        <v>17</v>
      </c>
      <c r="I11" s="2">
        <f t="shared" si="0"/>
        <v>10.050000000000001</v>
      </c>
      <c r="J11" s="2">
        <v>17</v>
      </c>
      <c r="K11" s="2">
        <f t="shared" si="1"/>
        <v>10.050000000000001</v>
      </c>
      <c r="L11" s="2">
        <v>17</v>
      </c>
      <c r="M11" s="2">
        <f t="shared" si="2"/>
        <v>10.199999999999999</v>
      </c>
      <c r="N11" s="2">
        <v>1.5</v>
      </c>
      <c r="O11" s="2">
        <f t="shared" si="3"/>
        <v>2.2333333333333334</v>
      </c>
      <c r="P11" s="2">
        <v>1.5</v>
      </c>
      <c r="Q11" s="2">
        <f t="shared" si="4"/>
        <v>1.3666666666666665</v>
      </c>
      <c r="R11" s="2">
        <v>1.5</v>
      </c>
      <c r="S11" s="2">
        <f t="shared" si="5"/>
        <v>1.9428571428571428</v>
      </c>
      <c r="T11" s="2">
        <v>24</v>
      </c>
      <c r="U11" s="2">
        <f t="shared" si="6"/>
        <v>17</v>
      </c>
      <c r="V11" s="2">
        <v>24</v>
      </c>
      <c r="W11" s="2">
        <f t="shared" si="7"/>
        <v>25.5</v>
      </c>
      <c r="X11" s="2">
        <v>24</v>
      </c>
      <c r="Y11" s="2">
        <f t="shared" si="8"/>
        <v>15.3</v>
      </c>
      <c r="Z11" s="2">
        <v>99</v>
      </c>
      <c r="AA11" s="2">
        <f t="shared" si="9"/>
        <v>72</v>
      </c>
      <c r="AC11" s="2"/>
      <c r="AD11" s="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944F4-4E64-4FEC-B488-B7782CE314D8}">
  <dimension ref="A1:B11"/>
  <sheetViews>
    <sheetView tabSelected="1" workbookViewId="0">
      <selection activeCell="I9" sqref="I9"/>
    </sheetView>
  </sheetViews>
  <sheetFormatPr defaultRowHeight="14.4" x14ac:dyDescent="0.3"/>
  <cols>
    <col min="1" max="1" width="12.109375" bestFit="1" customWidth="1"/>
    <col min="2" max="2" width="12.33203125" customWidth="1"/>
  </cols>
  <sheetData>
    <row r="1" spans="1:2" x14ac:dyDescent="0.3">
      <c r="A1" s="1" t="s">
        <v>30</v>
      </c>
      <c r="B1" s="1" t="s">
        <v>31</v>
      </c>
    </row>
    <row r="2" spans="1:2" x14ac:dyDescent="0.3">
      <c r="A2" s="2">
        <v>15</v>
      </c>
      <c r="B2" s="2">
        <f>A5*0.9</f>
        <v>8.1</v>
      </c>
    </row>
    <row r="3" spans="1:2" x14ac:dyDescent="0.3">
      <c r="A3" s="2">
        <v>38</v>
      </c>
      <c r="B3" s="2">
        <f>A6*0.9</f>
        <v>18</v>
      </c>
    </row>
    <row r="4" spans="1:2" x14ac:dyDescent="0.3">
      <c r="A4" s="2">
        <v>22</v>
      </c>
      <c r="B4" s="2">
        <f>A7*0.9</f>
        <v>14.4</v>
      </c>
    </row>
    <row r="5" spans="1:2" x14ac:dyDescent="0.3">
      <c r="A5" s="2">
        <v>9</v>
      </c>
      <c r="B5" s="2">
        <f>A8*0.9</f>
        <v>9.9</v>
      </c>
    </row>
    <row r="6" spans="1:2" x14ac:dyDescent="0.3">
      <c r="A6" s="2">
        <v>20</v>
      </c>
      <c r="B6" s="2">
        <f>A9*0.9</f>
        <v>9</v>
      </c>
    </row>
    <row r="7" spans="1:2" x14ac:dyDescent="0.3">
      <c r="A7" s="2">
        <v>16</v>
      </c>
      <c r="B7" s="2">
        <f>A10*0.9</f>
        <v>17.100000000000001</v>
      </c>
    </row>
    <row r="8" spans="1:2" x14ac:dyDescent="0.3">
      <c r="A8" s="2">
        <v>11</v>
      </c>
      <c r="B8" s="2">
        <f>A11*0.9</f>
        <v>21.6</v>
      </c>
    </row>
    <row r="9" spans="1:2" x14ac:dyDescent="0.3">
      <c r="A9" s="2">
        <v>10</v>
      </c>
      <c r="B9" s="2">
        <f>A12*0.9</f>
        <v>0</v>
      </c>
    </row>
    <row r="10" spans="1:2" x14ac:dyDescent="0.3">
      <c r="A10" s="2">
        <v>19</v>
      </c>
      <c r="B10" s="2">
        <f>A13*0.9</f>
        <v>0</v>
      </c>
    </row>
    <row r="11" spans="1:2" x14ac:dyDescent="0.3">
      <c r="A11" s="2">
        <v>24</v>
      </c>
      <c r="B11" s="2">
        <f>A14*0.9</f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Plan1</vt:lpstr>
      <vt:lpstr>Plan2</vt:lpstr>
      <vt:lpstr>Planilha1</vt:lpstr>
      <vt:lpstr>Planilha2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Edson Silva</cp:lastModifiedBy>
  <dcterms:created xsi:type="dcterms:W3CDTF">2024-05-28T11:19:21Z</dcterms:created>
  <dcterms:modified xsi:type="dcterms:W3CDTF">2024-06-28T15:41:53Z</dcterms:modified>
</cp:coreProperties>
</file>